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msft-reservation-management\virtual-machines\3. Templates\Assess Reserved Instance Candidates\EA\"/>
    </mc:Choice>
  </mc:AlternateContent>
  <xr:revisionPtr revIDLastSave="0" documentId="13_ncr:1_{A7336082-CA80-4CC0-BB64-457B9393027D}" xr6:coauthVersionLast="47" xr6:coauthVersionMax="47" xr10:uidLastSave="{00000000-0000-0000-0000-000000000000}"/>
  <bookViews>
    <workbookView xWindow="-108" yWindow="-108" windowWidth="46296" windowHeight="18696" xr2:uid="{B66642EE-2636-4793-B9B3-A7FB0829CA28}"/>
  </bookViews>
  <sheets>
    <sheet name="RI Assessment" sheetId="6" r:id="rId1"/>
    <sheet name="Price Matri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2" i="6" l="1"/>
  <c r="G33" i="6"/>
  <c r="G31" i="6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F2" i="3"/>
  <c r="F3" i="3"/>
  <c r="F4" i="3"/>
  <c r="F5" i="3"/>
  <c r="F6" i="3"/>
  <c r="F7" i="3"/>
  <c r="F8" i="3"/>
  <c r="F9" i="3"/>
  <c r="F10" i="3"/>
  <c r="I2" i="3"/>
  <c r="I3" i="3"/>
  <c r="I4" i="3"/>
  <c r="I5" i="3"/>
  <c r="I6" i="3"/>
  <c r="I7" i="3"/>
  <c r="I8" i="3"/>
  <c r="I9" i="3"/>
  <c r="I10" i="3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E26" i="6" l="1"/>
  <c r="D26" i="6"/>
  <c r="N15" i="6" l="1"/>
  <c r="M15" i="6" s="1"/>
  <c r="O15" i="6" s="1"/>
  <c r="N16" i="6"/>
  <c r="M16" i="6" s="1"/>
  <c r="O16" i="6" s="1"/>
  <c r="N17" i="6"/>
  <c r="M17" i="6" s="1"/>
  <c r="O17" i="6" s="1"/>
  <c r="N18" i="6"/>
  <c r="M18" i="6" s="1"/>
  <c r="O18" i="6" s="1"/>
  <c r="Q15" i="6"/>
  <c r="Q16" i="6"/>
  <c r="Q17" i="6"/>
  <c r="Q18" i="6"/>
  <c r="T15" i="6"/>
  <c r="T16" i="6"/>
  <c r="T17" i="6"/>
  <c r="T18" i="6"/>
  <c r="H18" i="6" l="1"/>
  <c r="J18" i="6" s="1"/>
  <c r="H17" i="6"/>
  <c r="J17" i="6" s="1"/>
  <c r="H16" i="6"/>
  <c r="J16" i="6" s="1"/>
  <c r="H15" i="6"/>
  <c r="J15" i="6" s="1"/>
  <c r="S15" i="6" l="1"/>
  <c r="U15" i="6" s="1"/>
  <c r="I15" i="6"/>
  <c r="S16" i="6"/>
  <c r="U16" i="6" s="1"/>
  <c r="I16" i="6"/>
  <c r="S17" i="6"/>
  <c r="U17" i="6" s="1"/>
  <c r="I17" i="6"/>
  <c r="S18" i="6"/>
  <c r="U18" i="6" s="1"/>
  <c r="I18" i="6"/>
  <c r="P15" i="6" l="1"/>
  <c r="R15" i="6" s="1"/>
  <c r="P18" i="6"/>
  <c r="R18" i="6" s="1"/>
  <c r="P17" i="6"/>
  <c r="R17" i="6" s="1"/>
  <c r="P16" i="6"/>
  <c r="R16" i="6" s="1"/>
  <c r="T10" i="6"/>
  <c r="T9" i="6"/>
  <c r="T6" i="6"/>
  <c r="T19" i="6"/>
  <c r="T11" i="6"/>
  <c r="T20" i="6"/>
  <c r="T21" i="6"/>
  <c r="T24" i="6"/>
  <c r="T22" i="6"/>
  <c r="T7" i="6"/>
  <c r="T23" i="6"/>
  <c r="T12" i="6"/>
  <c r="T13" i="6"/>
  <c r="T8" i="6"/>
  <c r="T14" i="6"/>
  <c r="T25" i="6"/>
  <c r="N14" i="6"/>
  <c r="Q14" i="6"/>
  <c r="N8" i="6"/>
  <c r="Q8" i="6"/>
  <c r="N13" i="6"/>
  <c r="Q13" i="6"/>
  <c r="N12" i="6"/>
  <c r="Q12" i="6"/>
  <c r="N23" i="6"/>
  <c r="Q23" i="6"/>
  <c r="N7" i="6"/>
  <c r="Q7" i="6"/>
  <c r="N22" i="6"/>
  <c r="Q22" i="6"/>
  <c r="N24" i="6"/>
  <c r="Q24" i="6"/>
  <c r="N21" i="6"/>
  <c r="Q21" i="6"/>
  <c r="N20" i="6"/>
  <c r="Q20" i="6"/>
  <c r="N11" i="6"/>
  <c r="Q11" i="6"/>
  <c r="N19" i="6"/>
  <c r="Q19" i="6"/>
  <c r="H20" i="6" l="1"/>
  <c r="M20" i="6"/>
  <c r="O20" i="6" s="1"/>
  <c r="H8" i="6"/>
  <c r="M8" i="6"/>
  <c r="O8" i="6" s="1"/>
  <c r="H13" i="6"/>
  <c r="M13" i="6"/>
  <c r="O13" i="6" s="1"/>
  <c r="H14" i="6"/>
  <c r="M14" i="6"/>
  <c r="O14" i="6" s="1"/>
  <c r="H21" i="6"/>
  <c r="I21" i="6" s="1"/>
  <c r="M21" i="6"/>
  <c r="O21" i="6" s="1"/>
  <c r="H24" i="6"/>
  <c r="M24" i="6"/>
  <c r="O24" i="6" s="1"/>
  <c r="H22" i="6"/>
  <c r="M22" i="6"/>
  <c r="O22" i="6" s="1"/>
  <c r="H19" i="6"/>
  <c r="M19" i="6"/>
  <c r="O19" i="6" s="1"/>
  <c r="H7" i="6"/>
  <c r="M7" i="6"/>
  <c r="O7" i="6" s="1"/>
  <c r="H11" i="6"/>
  <c r="M11" i="6"/>
  <c r="O11" i="6" s="1"/>
  <c r="H23" i="6"/>
  <c r="M23" i="6"/>
  <c r="O23" i="6" s="1"/>
  <c r="H12" i="6"/>
  <c r="M12" i="6"/>
  <c r="O12" i="6" s="1"/>
  <c r="N6" i="6"/>
  <c r="Q6" i="6"/>
  <c r="N9" i="6"/>
  <c r="Q9" i="6"/>
  <c r="N10" i="6"/>
  <c r="Q10" i="6"/>
  <c r="J22" i="6" l="1"/>
  <c r="S22" i="6" s="1"/>
  <c r="U22" i="6" s="1"/>
  <c r="J21" i="6"/>
  <c r="S21" i="6" s="1"/>
  <c r="U21" i="6" s="1"/>
  <c r="J19" i="6"/>
  <c r="S19" i="6" s="1"/>
  <c r="U19" i="6" s="1"/>
  <c r="I12" i="6"/>
  <c r="P12" i="6" s="1"/>
  <c r="R12" i="6" s="1"/>
  <c r="J12" i="6"/>
  <c r="S12" i="6" s="1"/>
  <c r="U12" i="6" s="1"/>
  <c r="J14" i="6"/>
  <c r="S14" i="6" s="1"/>
  <c r="U14" i="6" s="1"/>
  <c r="I23" i="6"/>
  <c r="P23" i="6" s="1"/>
  <c r="R23" i="6" s="1"/>
  <c r="J23" i="6"/>
  <c r="S23" i="6" s="1"/>
  <c r="U23" i="6" s="1"/>
  <c r="J13" i="6"/>
  <c r="S13" i="6" s="1"/>
  <c r="U13" i="6" s="1"/>
  <c r="J24" i="6"/>
  <c r="S24" i="6" s="1"/>
  <c r="U24" i="6" s="1"/>
  <c r="J11" i="6"/>
  <c r="S11" i="6" s="1"/>
  <c r="U11" i="6" s="1"/>
  <c r="I8" i="6"/>
  <c r="P8" i="6" s="1"/>
  <c r="R8" i="6" s="1"/>
  <c r="J8" i="6"/>
  <c r="S8" i="6" s="1"/>
  <c r="U8" i="6" s="1"/>
  <c r="J7" i="6"/>
  <c r="S7" i="6" s="1"/>
  <c r="U7" i="6" s="1"/>
  <c r="J20" i="6"/>
  <c r="S20" i="6" s="1"/>
  <c r="U20" i="6" s="1"/>
  <c r="I20" i="6"/>
  <c r="P20" i="6" s="1"/>
  <c r="R20" i="6" s="1"/>
  <c r="I24" i="6"/>
  <c r="P24" i="6" s="1"/>
  <c r="R24" i="6" s="1"/>
  <c r="I14" i="6"/>
  <c r="P14" i="6" s="1"/>
  <c r="R14" i="6" s="1"/>
  <c r="I13" i="6"/>
  <c r="P13" i="6" s="1"/>
  <c r="R13" i="6" s="1"/>
  <c r="I11" i="6"/>
  <c r="P11" i="6" s="1"/>
  <c r="R11" i="6" s="1"/>
  <c r="I19" i="6"/>
  <c r="P19" i="6" s="1"/>
  <c r="R19" i="6" s="1"/>
  <c r="I7" i="6"/>
  <c r="P7" i="6" s="1"/>
  <c r="R7" i="6" s="1"/>
  <c r="I22" i="6"/>
  <c r="P22" i="6" s="1"/>
  <c r="R22" i="6" s="1"/>
  <c r="H6" i="6"/>
  <c r="M6" i="6"/>
  <c r="O6" i="6" s="1"/>
  <c r="H10" i="6"/>
  <c r="M10" i="6"/>
  <c r="O10" i="6" s="1"/>
  <c r="H9" i="6"/>
  <c r="M9" i="6"/>
  <c r="O9" i="6" s="1"/>
  <c r="P21" i="6"/>
  <c r="R21" i="6" s="1"/>
  <c r="Q25" i="6"/>
  <c r="N25" i="6"/>
  <c r="J9" i="6" l="1"/>
  <c r="S9" i="6" s="1"/>
  <c r="U9" i="6" s="1"/>
  <c r="I10" i="6"/>
  <c r="P10" i="6" s="1"/>
  <c r="R10" i="6" s="1"/>
  <c r="J10" i="6"/>
  <c r="S10" i="6" s="1"/>
  <c r="U10" i="6" s="1"/>
  <c r="J6" i="6"/>
  <c r="S6" i="6" s="1"/>
  <c r="U6" i="6" s="1"/>
  <c r="I6" i="6"/>
  <c r="P6" i="6" s="1"/>
  <c r="R6" i="6" s="1"/>
  <c r="I9" i="6"/>
  <c r="P9" i="6" s="1"/>
  <c r="R9" i="6" s="1"/>
  <c r="H25" i="6"/>
  <c r="J25" i="6" s="1"/>
  <c r="M25" i="6"/>
  <c r="O25" i="6" s="1"/>
  <c r="I25" i="6" l="1"/>
  <c r="P25" i="6" s="1"/>
  <c r="R25" i="6" s="1"/>
  <c r="R26" i="6" s="1"/>
  <c r="J26" i="6"/>
  <c r="S25" i="6"/>
  <c r="P26" i="6" l="1"/>
  <c r="Q26" i="6" s="1"/>
  <c r="I26" i="6"/>
  <c r="F32" i="6" s="1"/>
  <c r="U25" i="6"/>
  <c r="U26" i="6" s="1"/>
  <c r="S26" i="6"/>
  <c r="F31" i="6" l="1"/>
  <c r="T26" i="6"/>
  <c r="F33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tc={8C79A29B-8130-43E3-8636-5DE5E0F352F8}</author>
    <author>tc={F0E48A1C-0721-4734-B413-8DEF8B16D7FA}</author>
  </authors>
  <commentList>
    <comment ref="C3" authorId="0" shapeId="0" xr:uid="{8C79A29B-8130-43E3-8636-5DE5E0F352F8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reasonable percentage</t>
      </text>
    </comment>
    <comment ref="J5" authorId="1" shapeId="0" xr:uid="{F0E48A1C-0721-4734-B413-8DEF8B16D7FA}">
      <text>
        <t>[Threaded comment]
Your version of Excel allows you to read this threaded comment; however, any edits to it will get removed if the file is opened in a newer version of Excel. Learn more: https://go.microsoft.com/fwlink/?linkid=870924
Comment:
    Showing cost per year</t>
      </text>
    </comment>
  </commentList>
</comments>
</file>

<file path=xl/sharedStrings.xml><?xml version="1.0" encoding="utf-8"?>
<sst xmlns="http://schemas.openxmlformats.org/spreadsheetml/2006/main" count="2027" uniqueCount="1240">
  <si>
    <t>RI Series</t>
  </si>
  <si>
    <t>Region</t>
  </si>
  <si>
    <t>Price (1y)</t>
  </si>
  <si>
    <t>Price (3y)</t>
  </si>
  <si>
    <t>Ratio</t>
  </si>
  <si>
    <t>Savings (1y)</t>
  </si>
  <si>
    <t>Savings (3y)</t>
  </si>
  <si>
    <t>Price/Ratio (1y)</t>
  </si>
  <si>
    <t>Price/Ratio (3y)</t>
  </si>
  <si>
    <t>Expected Savings % (1y)</t>
  </si>
  <si>
    <t>Ratio / RI</t>
  </si>
  <si>
    <t>Date</t>
  </si>
  <si>
    <t>Ratio Purchased</t>
  </si>
  <si>
    <t>InstanceSizeFlexibilityGroup</t>
  </si>
  <si>
    <t>ArmSkuName</t>
  </si>
  <si>
    <t>Expected Savings % (3y)</t>
  </si>
  <si>
    <t>Reserved Instance Sku</t>
  </si>
  <si>
    <t>Already purchased Ratio</t>
  </si>
  <si>
    <t>Potential Ratio</t>
  </si>
  <si>
    <t>Potential Ratio to purchase</t>
  </si>
  <si>
    <t>Potential Amount</t>
  </si>
  <si>
    <t>Potential Cost (1y)</t>
  </si>
  <si>
    <t>Potential Cost (3y)</t>
  </si>
  <si>
    <t>Expected Savings (1y)</t>
  </si>
  <si>
    <t>Expected Savings (3y)</t>
  </si>
  <si>
    <t>Expected Net Savings (1y)</t>
  </si>
  <si>
    <t>Expected Net Savings (3y)</t>
  </si>
  <si>
    <t>Percentage of 3-year RIs</t>
  </si>
  <si>
    <t>Net savings (yearly)</t>
  </si>
  <si>
    <t>Amount (1y)</t>
  </si>
  <si>
    <t>Amount (3y)</t>
  </si>
  <si>
    <t>Current Ratio Total</t>
  </si>
  <si>
    <t>Reserved Instance Assessment</t>
  </si>
  <si>
    <t>Run Cost (VMs)</t>
  </si>
  <si>
    <t>Reservation cost</t>
  </si>
  <si>
    <t>BS Series</t>
  </si>
  <si>
    <t>BS Series High Memory</t>
  </si>
  <si>
    <t>Dasv4 Series</t>
  </si>
  <si>
    <t>Ddsv4 Series</t>
  </si>
  <si>
    <t>DSv2 Series</t>
  </si>
  <si>
    <t>DSv2 Series High Memory</t>
  </si>
  <si>
    <t>DSv3 Series</t>
  </si>
  <si>
    <t>Easv4 Series</t>
  </si>
  <si>
    <t>Edsv4 Series</t>
  </si>
  <si>
    <t>ESv3 Series</t>
  </si>
  <si>
    <t>Esv4 Series</t>
  </si>
  <si>
    <t>F Series</t>
  </si>
  <si>
    <t>FSv2 Series</t>
  </si>
  <si>
    <t>MS Series Fractional Large</t>
  </si>
  <si>
    <t>Azure Red Hat OpenShift Compute Optimized</t>
  </si>
  <si>
    <t>Red_Hat_OpenShift_Compute_Optimized_v2_4_vCPU</t>
  </si>
  <si>
    <t>Red_Hat_OpenShift_Compute_Optimized_v2_8_vCPU</t>
  </si>
  <si>
    <t>Red_Hat_OpenShift_Compute_Optimized_v2_16_vCPU</t>
  </si>
  <si>
    <t>Red_Hat_OpenShift_Compute_Optimized_v2_32_vCPU</t>
  </si>
  <si>
    <t>Azure Red Hat OpenShift General Purpose</t>
  </si>
  <si>
    <t>Red_Hat_OpenShift_General_Purpose_v3_4_vCPU</t>
  </si>
  <si>
    <t>Red_Hat_OpenShift_General_Purpose_v3_8_vCPU</t>
  </si>
  <si>
    <t>Red_Hat_OpenShift_General_Purpose_v3_16_vCPU</t>
  </si>
  <si>
    <t>Red_Hat_OpenShift_General_Purpose_v3_32_vCPU</t>
  </si>
  <si>
    <t>Azure Red Hat OpenShift Memory Optimized</t>
  </si>
  <si>
    <t>Red_Hat_OpenShift_Memory_Optimized_v3_4_vCPU</t>
  </si>
  <si>
    <t>Red_Hat_OpenShift_Memory_Optimized_v3_8_vCPU</t>
  </si>
  <si>
    <t>Red_Hat_OpenShift_Memory_Optimized_v3_16_vCPU</t>
  </si>
  <si>
    <t>Red_Hat_OpenShift_Memory_Optimized_v3_32_vCPU</t>
  </si>
  <si>
    <t>Azure Redis Cache Enterprise</t>
  </si>
  <si>
    <t>Azure_Redis_Cache_Enterprise_E1</t>
  </si>
  <si>
    <t>Azure_Redis_Cache_Enterprise_E10</t>
  </si>
  <si>
    <t>Azure_Redis_Cache_Enterprise_E20</t>
  </si>
  <si>
    <t>Azure_Redis_Cache_Enterprise_E50</t>
  </si>
  <si>
    <t>Azure_Redis_Cache_Enterprise_E100</t>
  </si>
  <si>
    <t>Azure Redis Cache Enterprise Flash</t>
  </si>
  <si>
    <t>Azure_Redis_Cache_Enterprise_Flash_F300</t>
  </si>
  <si>
    <t>Azure_Redis_Cache_Enterprise_Flash_F700</t>
  </si>
  <si>
    <t>Azure_Redis_Cache_Enterprise_Flash_F1500</t>
  </si>
  <si>
    <t>Azure Redis Cache Premium</t>
  </si>
  <si>
    <t>Azure_Redis_Cache_Premium_P1_Cache</t>
  </si>
  <si>
    <t>Azure_Redis_Cache_Premium_P2_Cache</t>
  </si>
  <si>
    <t>Azure_Redis_Cache_Premium_P3_Cache</t>
  </si>
  <si>
    <t>Azure_Redis_Cache_Premium_P4_Cache</t>
  </si>
  <si>
    <t>Azure_Redis_Cache_Premium_P5_Cache</t>
  </si>
  <si>
    <t>Standard_B1ls</t>
  </si>
  <si>
    <t>Standard_B1s</t>
  </si>
  <si>
    <t>Standard_B2s</t>
  </si>
  <si>
    <t>Standard_B1ms</t>
  </si>
  <si>
    <t>Standard_B2ms</t>
  </si>
  <si>
    <t>Standard_B4ms</t>
  </si>
  <si>
    <t>Standard_B8ms</t>
  </si>
  <si>
    <t>Standard_B12ms</t>
  </si>
  <si>
    <t>Standard_B16ms</t>
  </si>
  <si>
    <t>Standard_B20ms</t>
  </si>
  <si>
    <t>D Series</t>
  </si>
  <si>
    <t>Standard_D1</t>
  </si>
  <si>
    <t>Standard_D2</t>
  </si>
  <si>
    <t>Standard_D3</t>
  </si>
  <si>
    <t>Standard_D4</t>
  </si>
  <si>
    <t>D Series High Memory</t>
  </si>
  <si>
    <t>Standard_D11</t>
  </si>
  <si>
    <t>Standard_D12</t>
  </si>
  <si>
    <t>Standard_D13</t>
  </si>
  <si>
    <t>Standard_D14</t>
  </si>
  <si>
    <t>DCSv2 Series</t>
  </si>
  <si>
    <t>Standard_DC1s_v2</t>
  </si>
  <si>
    <t>Standard_DC2s_v2</t>
  </si>
  <si>
    <t>Standard_DC4s_v2</t>
  </si>
  <si>
    <t>Standard_DC8_v2</t>
  </si>
  <si>
    <t>DCdsv3 Series Linux</t>
  </si>
  <si>
    <t>Standard_DC1ds_v3</t>
  </si>
  <si>
    <t>Standard_DC2ds_v3</t>
  </si>
  <si>
    <t>Standard_DC4ds_v3</t>
  </si>
  <si>
    <t>Standard_DC8ds_v3</t>
  </si>
  <si>
    <t>Standard_DC16ds_v3</t>
  </si>
  <si>
    <t>Standard_DC24ds_v3</t>
  </si>
  <si>
    <t>Standard_DC32ds_v3</t>
  </si>
  <si>
    <t>Standard_DC48ds_v3</t>
  </si>
  <si>
    <t>DCsv3 Series Linux</t>
  </si>
  <si>
    <t>Standard_DC1s_v3</t>
  </si>
  <si>
    <t>Standard_DC2s_v3</t>
  </si>
  <si>
    <t>Standard_DC4s_v3</t>
  </si>
  <si>
    <t>Standard_DC8s_v3</t>
  </si>
  <si>
    <t>Standard_DC16s_v3</t>
  </si>
  <si>
    <t>Standard_DC24s_v3</t>
  </si>
  <si>
    <t>Standard_DC32s_v3</t>
  </si>
  <si>
    <t>Standard_DC48s_v3</t>
  </si>
  <si>
    <t>DS Series</t>
  </si>
  <si>
    <t>Standard_DS1</t>
  </si>
  <si>
    <t>Standard_DS2</t>
  </si>
  <si>
    <t>Standard_DS3</t>
  </si>
  <si>
    <t>Standard_DS4</t>
  </si>
  <si>
    <t>DS Series High Memory</t>
  </si>
  <si>
    <t>Standard_DS11</t>
  </si>
  <si>
    <t>Standard_DS12</t>
  </si>
  <si>
    <t>Standard_DS13</t>
  </si>
  <si>
    <t>Standard_DS14</t>
  </si>
  <si>
    <t>Standard_DS1_v2</t>
  </si>
  <si>
    <t>Standard_DS2_v2</t>
  </si>
  <si>
    <t>Standard_DS3_v2</t>
  </si>
  <si>
    <t>Standard_DS4_v2</t>
  </si>
  <si>
    <t>Standard_DS5_v2</t>
  </si>
  <si>
    <t>Standard_DS11_v2</t>
  </si>
  <si>
    <t>Standard_DS11-1_v2</t>
  </si>
  <si>
    <t>Standard_DS12-2_v2</t>
  </si>
  <si>
    <t>Standard_DS12-1_v2</t>
  </si>
  <si>
    <t>Standard_DS12_v2</t>
  </si>
  <si>
    <t>Standard_DS13_v2</t>
  </si>
  <si>
    <t>Standard_DS13-2_v2</t>
  </si>
  <si>
    <t>Standard_DS13-4_v2</t>
  </si>
  <si>
    <t>Standard_DS14_v2</t>
  </si>
  <si>
    <t>Standard_DS14-4_v2</t>
  </si>
  <si>
    <t>Standard_DS14-8_v2</t>
  </si>
  <si>
    <t>Standard_DS15_v2</t>
  </si>
  <si>
    <t>Standard_D2s_v3</t>
  </si>
  <si>
    <t>Standard_D4s_v3</t>
  </si>
  <si>
    <t>Standard_D8s_v3</t>
  </si>
  <si>
    <t>Standard_D8hs_v3</t>
  </si>
  <si>
    <t>Standard_D16s_v3</t>
  </si>
  <si>
    <t>Standard_D32-16s_v3</t>
  </si>
  <si>
    <t>Standard_D32s_v3</t>
  </si>
  <si>
    <t>Standard_D32-8s_v3</t>
  </si>
  <si>
    <t>Standard_D48s_v3</t>
  </si>
  <si>
    <t>Standard_D64s_v3</t>
  </si>
  <si>
    <t>Standard_D64-16s_v3</t>
  </si>
  <si>
    <t>Standard_D64-32s_v3</t>
  </si>
  <si>
    <t>DSv3 Series Dedicated Host</t>
  </si>
  <si>
    <t>Dsv3_Type1</t>
  </si>
  <si>
    <t>Dsv3_Type2</t>
  </si>
  <si>
    <t>Dsv3_Type3</t>
  </si>
  <si>
    <t>Dsv3_Type4</t>
  </si>
  <si>
    <t>DSv4 Series Dedicated Host</t>
  </si>
  <si>
    <t>Dsv4_Type1</t>
  </si>
  <si>
    <t>Dsv4_Type2</t>
  </si>
  <si>
    <t>Dadsv5 Internal Series</t>
  </si>
  <si>
    <t>Internal_D2ads_v5</t>
  </si>
  <si>
    <t>Internal_D4ads_v5</t>
  </si>
  <si>
    <t>Internal_D8ads_v5</t>
  </si>
  <si>
    <t>Internal_D16ads_v5</t>
  </si>
  <si>
    <t>Internal_D32ads_v5</t>
  </si>
  <si>
    <t>Internal_D48ads_v5</t>
  </si>
  <si>
    <t>Internal_D64ads_v5</t>
  </si>
  <si>
    <t>Internal_D96ads_v5</t>
  </si>
  <si>
    <t>Dadsv5 Series</t>
  </si>
  <si>
    <t>Standard_D2ads_v5</t>
  </si>
  <si>
    <t>Standard_D4ads_v5</t>
  </si>
  <si>
    <t>Standard_D8ads_v5</t>
  </si>
  <si>
    <t>Standard_D16ads_v5</t>
  </si>
  <si>
    <t>Standard_D32ads_v5</t>
  </si>
  <si>
    <t>Standard_D48ads_v5</t>
  </si>
  <si>
    <t>Standard_D64ads_v5</t>
  </si>
  <si>
    <t>Standard_D96ads_v5</t>
  </si>
  <si>
    <t>Dalsv5 Internal Series</t>
  </si>
  <si>
    <t>Internal_D2als_v5</t>
  </si>
  <si>
    <t>Internal_D4als_v5</t>
  </si>
  <si>
    <t>Internal_D8als_v5</t>
  </si>
  <si>
    <t>Internal_D16als_v5</t>
  </si>
  <si>
    <t>Internal_D32als_v5</t>
  </si>
  <si>
    <t>Internal_D48als_v5</t>
  </si>
  <si>
    <t>Internal_D64als_v5</t>
  </si>
  <si>
    <t>Internal_D96als_v5</t>
  </si>
  <si>
    <t>Standard_D2as_v4</t>
  </si>
  <si>
    <t>Standard_D4as_v4</t>
  </si>
  <si>
    <t>Standard_D4ahs_v4</t>
  </si>
  <si>
    <t>Standard_D8as_v4</t>
  </si>
  <si>
    <t>Standard_D8ahs_v4</t>
  </si>
  <si>
    <t>Standard_D16as_v4</t>
  </si>
  <si>
    <t>Standard_D32as_v4</t>
  </si>
  <si>
    <t>Standard_D48as_v4</t>
  </si>
  <si>
    <t>Standard_D64as_v4</t>
  </si>
  <si>
    <t>Standard_D96as_v4</t>
  </si>
  <si>
    <t>Dasv4 Series Dedicated Host</t>
  </si>
  <si>
    <t>Dasv4_Type2</t>
  </si>
  <si>
    <t>Dasv4_Type1</t>
  </si>
  <si>
    <t>Dasv5 Internal Series</t>
  </si>
  <si>
    <t>Internal_D2as_v5</t>
  </si>
  <si>
    <t>Internal_D4as_v5</t>
  </si>
  <si>
    <t>Internal_D8as_v5</t>
  </si>
  <si>
    <t>Internal_D16as_v5</t>
  </si>
  <si>
    <t>Internal_D32as_v5</t>
  </si>
  <si>
    <t>Internal_D48as_v5</t>
  </si>
  <si>
    <t>Internal_D64as_v5</t>
  </si>
  <si>
    <t>Internal_D96as_v5</t>
  </si>
  <si>
    <t>Dasv5 Promo Series</t>
  </si>
  <si>
    <t>Standard_D2as_v5_Promo</t>
  </si>
  <si>
    <t>Standard_D4as_v5_Promo</t>
  </si>
  <si>
    <t>Standard_D8as_v5_Promo</t>
  </si>
  <si>
    <t>Standard_D16as_v5_Promo</t>
  </si>
  <si>
    <t>Standard_D32as_v5_Promo</t>
  </si>
  <si>
    <t>Standard_D48as_v5_Promo</t>
  </si>
  <si>
    <t>Standard_D64as_v5_Promo</t>
  </si>
  <si>
    <t>Standard_D96as_v5_Promo</t>
  </si>
  <si>
    <t>Dasv5 Series</t>
  </si>
  <si>
    <t>Standard_D2as_v5</t>
  </si>
  <si>
    <t>Standard_D4as_v5</t>
  </si>
  <si>
    <t>Standard_D8as_v5</t>
  </si>
  <si>
    <t>Standard_D16as_v5</t>
  </si>
  <si>
    <t>Standard_D32as_v5</t>
  </si>
  <si>
    <t>Standard_D48as_v5</t>
  </si>
  <si>
    <t>Standard_D64as_v5</t>
  </si>
  <si>
    <t>Standard_D96as_v5</t>
  </si>
  <si>
    <t>Dav4 Series</t>
  </si>
  <si>
    <t>Standard_D2a_v4</t>
  </si>
  <si>
    <t>Standard_D4a_v4</t>
  </si>
  <si>
    <t>Standard_D8a_v4</t>
  </si>
  <si>
    <t>Standard_D16a_v4</t>
  </si>
  <si>
    <t>Standard_D32a_v4</t>
  </si>
  <si>
    <t>Standard_D48a_v4</t>
  </si>
  <si>
    <t>Standard_D64a_v4</t>
  </si>
  <si>
    <t>Standard_D96a_v4</t>
  </si>
  <si>
    <t>Standard_D2ds_v4</t>
  </si>
  <si>
    <t>Standard_D4ds_v4</t>
  </si>
  <si>
    <t>Standard_D8ds_v4</t>
  </si>
  <si>
    <t>Standard_D16ds_v4</t>
  </si>
  <si>
    <t>Standard_D32ds_v4</t>
  </si>
  <si>
    <t>Standard_D48ds_v4</t>
  </si>
  <si>
    <t>Standard_D64ds_v4</t>
  </si>
  <si>
    <t>Ddsv4 Series Dedicated Host</t>
  </si>
  <si>
    <t>Ddsv4_Type 1</t>
  </si>
  <si>
    <t>Ddsv4_Type2</t>
  </si>
  <si>
    <t>Ddsv5 Series</t>
  </si>
  <si>
    <t>Standard_D2ds_v5</t>
  </si>
  <si>
    <t>Standard_D4ds_v5</t>
  </si>
  <si>
    <t>Standard_D8ds_v5</t>
  </si>
  <si>
    <t>Standard_D16ds_v5</t>
  </si>
  <si>
    <t>Standard_D32ds_v5</t>
  </si>
  <si>
    <t>Standard_D48ds_v5</t>
  </si>
  <si>
    <t>Standard_D64ds_v5</t>
  </si>
  <si>
    <t>Standard_D96ds_v5</t>
  </si>
  <si>
    <t>Ddv4 Series</t>
  </si>
  <si>
    <t>Standard_D2d_v4</t>
  </si>
  <si>
    <t>Standard_D4d_v4</t>
  </si>
  <si>
    <t>Standard_D8d_v4</t>
  </si>
  <si>
    <t>Standard_D16d_v4</t>
  </si>
  <si>
    <t>Standard_D32d_v4</t>
  </si>
  <si>
    <t>Standard_D48d_v4</t>
  </si>
  <si>
    <t>Standard_D64d_v4</t>
  </si>
  <si>
    <t>Ddv5 Series</t>
  </si>
  <si>
    <t>Standard_D2d_v5</t>
  </si>
  <si>
    <t>Standard_D4d_v5</t>
  </si>
  <si>
    <t>Standard_D8d_v5</t>
  </si>
  <si>
    <t>Standard_D16d_v5</t>
  </si>
  <si>
    <t>Standard_D32d_v5</t>
  </si>
  <si>
    <t>Standard_D48d_v5</t>
  </si>
  <si>
    <t>Standard_D64d_v5</t>
  </si>
  <si>
    <t>Standard_D96d_v5</t>
  </si>
  <si>
    <t>Dsv4 Series</t>
  </si>
  <si>
    <t>Standard_D2s_v4</t>
  </si>
  <si>
    <t>Standard_D4s_v4</t>
  </si>
  <si>
    <t>Standard_D8s_v4</t>
  </si>
  <si>
    <t>Standard_D16s_v4</t>
  </si>
  <si>
    <t>Standard_D32s_v4</t>
  </si>
  <si>
    <t>Standard_D48s_v4</t>
  </si>
  <si>
    <t>Standard_D64s_v4</t>
  </si>
  <si>
    <t>Dsv5 Series</t>
  </si>
  <si>
    <t>Standard_D2s_v5</t>
  </si>
  <si>
    <t>Standard_D4s_v5</t>
  </si>
  <si>
    <t>Standard_D8s_v5</t>
  </si>
  <si>
    <t>Standard_D16s_v5</t>
  </si>
  <si>
    <t>Standard_D32s_v5</t>
  </si>
  <si>
    <t>Standard_D48s_v5</t>
  </si>
  <si>
    <t>Standard_D64s_v5</t>
  </si>
  <si>
    <t>Standard_D96s_v5</t>
  </si>
  <si>
    <t>Dv2 Series</t>
  </si>
  <si>
    <t>Standard_D1_v2</t>
  </si>
  <si>
    <t>Standard_D2_v2</t>
  </si>
  <si>
    <t>Standard_D3_v2</t>
  </si>
  <si>
    <t>Standard_D4_v2</t>
  </si>
  <si>
    <t>Standard_D5_v2</t>
  </si>
  <si>
    <t>Dv2 Series High Memory</t>
  </si>
  <si>
    <t>Standard_D11_v2</t>
  </si>
  <si>
    <t>Standard_D12_v2</t>
  </si>
  <si>
    <t>Standard_D13_v2</t>
  </si>
  <si>
    <t>Standard_D14_v2</t>
  </si>
  <si>
    <t>Standard_D15_v2</t>
  </si>
  <si>
    <t>Dv3 Series</t>
  </si>
  <si>
    <t>Standard_D2_v3</t>
  </si>
  <si>
    <t>Standard_D4_v3</t>
  </si>
  <si>
    <t>Standard_D8_v3</t>
  </si>
  <si>
    <t>Standard_D16_v3</t>
  </si>
  <si>
    <t>Standard_D32_v3</t>
  </si>
  <si>
    <t>Standard_D48_v3</t>
  </si>
  <si>
    <t>Standard_D64_v3</t>
  </si>
  <si>
    <t>Dv4 Series</t>
  </si>
  <si>
    <t>Standard_D2_v4</t>
  </si>
  <si>
    <t>Standard_D4_v4</t>
  </si>
  <si>
    <t>Standard_D8_v4</t>
  </si>
  <si>
    <t>Standard_D16_v4</t>
  </si>
  <si>
    <t>Standard_D32_v4</t>
  </si>
  <si>
    <t>Standard_D48_v4</t>
  </si>
  <si>
    <t>Standard_D64_v4</t>
  </si>
  <si>
    <t>Dv5 Series</t>
  </si>
  <si>
    <t>Standard_D2_v5</t>
  </si>
  <si>
    <t>Standard_D4_v5</t>
  </si>
  <si>
    <t>Standard_D8_v5</t>
  </si>
  <si>
    <t>Standard_D16_v5</t>
  </si>
  <si>
    <t>Standard_D32_v5</t>
  </si>
  <si>
    <t>Standard_D48_v5</t>
  </si>
  <si>
    <t>Standard_D64_v5</t>
  </si>
  <si>
    <t>Standard_D96_v5</t>
  </si>
  <si>
    <t>Standard_E2s_v3</t>
  </si>
  <si>
    <t>Standard_E4-2s_v3</t>
  </si>
  <si>
    <t>Standard_E4s_v3</t>
  </si>
  <si>
    <t>Standard_E8s_v3</t>
  </si>
  <si>
    <t>Standard_E8-2s_v3</t>
  </si>
  <si>
    <t>Standard_E8-4s_v3</t>
  </si>
  <si>
    <t>Standard_E16-4s_v3</t>
  </si>
  <si>
    <t>Standard_E16-8s_v3</t>
  </si>
  <si>
    <t>Standard_E16s_v3</t>
  </si>
  <si>
    <t>Standard_E20s_v3</t>
  </si>
  <si>
    <t>Standard_E32-16s_v3</t>
  </si>
  <si>
    <t>Standard_E32-8s_v3</t>
  </si>
  <si>
    <t>Standard_E32s_v3</t>
  </si>
  <si>
    <t>Standard_E48s_v3</t>
  </si>
  <si>
    <t>Standard_E64s_v3</t>
  </si>
  <si>
    <t>Standard_E64-32s_v3</t>
  </si>
  <si>
    <t>Standard_E64-16s_v3</t>
  </si>
  <si>
    <t>ESv3 Series Dedicated Host</t>
  </si>
  <si>
    <t>Esv3_Type1</t>
  </si>
  <si>
    <t>Esv3_Type2</t>
  </si>
  <si>
    <t>Esv3_Type3</t>
  </si>
  <si>
    <t>Esv3_Type4</t>
  </si>
  <si>
    <t>ESv4 Series Dedicated Host</t>
  </si>
  <si>
    <t>Esv4_Type1</t>
  </si>
  <si>
    <t>Esv4_Type2</t>
  </si>
  <si>
    <t>Eadsv5 Internal Series</t>
  </si>
  <si>
    <t>Internal_E2ads_v5</t>
  </si>
  <si>
    <t>Internal_E4ads_v5</t>
  </si>
  <si>
    <t>Internal_E8ads_v5</t>
  </si>
  <si>
    <t>Internal_E16ads_v5</t>
  </si>
  <si>
    <t>Internal_E20ads_v5</t>
  </si>
  <si>
    <t>Internal_E32ads_v5</t>
  </si>
  <si>
    <t>Internal_E48ads_v5</t>
  </si>
  <si>
    <t>Internal_E64ads_v5</t>
  </si>
  <si>
    <t>Internal_E96ads_v5</t>
  </si>
  <si>
    <t>Eadsv5 Series</t>
  </si>
  <si>
    <t>Standard_E2ads_v5</t>
  </si>
  <si>
    <t>Standard_E4-2ads_v5</t>
  </si>
  <si>
    <t>Standard_E4ads_v5</t>
  </si>
  <si>
    <t>Standard_E8-2ads_v5</t>
  </si>
  <si>
    <t>Standard_E8-4ads_v5</t>
  </si>
  <si>
    <t>Standard_E8ads_v5</t>
  </si>
  <si>
    <t>Standard_E16-4ads_v5</t>
  </si>
  <si>
    <t>Standard_E16ads_v5</t>
  </si>
  <si>
    <t>Standard_E16-8ads_v5</t>
  </si>
  <si>
    <t>Standard_E20ads_v5</t>
  </si>
  <si>
    <t>Standard_E32-16ads_v5</t>
  </si>
  <si>
    <t>Standard_E32-8ads_v5</t>
  </si>
  <si>
    <t>Standard_E32ads_v5</t>
  </si>
  <si>
    <t>Standard_E48ads_v5</t>
  </si>
  <si>
    <t>Standard_E64ads_v5</t>
  </si>
  <si>
    <t>Standard_E64-16ads_v5</t>
  </si>
  <si>
    <t>Standard_E64-32ads_v5</t>
  </si>
  <si>
    <t>Standard_E96-48ads_v5</t>
  </si>
  <si>
    <t>Standard_E96iads_v5</t>
  </si>
  <si>
    <t>Standard_E96ads_v5</t>
  </si>
  <si>
    <t>Standard_E96-24ads_v5</t>
  </si>
  <si>
    <t>Standard_E112iads_v5</t>
  </si>
  <si>
    <t>Standard_E2as_v4</t>
  </si>
  <si>
    <t>Standard_E4-2as_v4</t>
  </si>
  <si>
    <t>Standard_E4as_v4</t>
  </si>
  <si>
    <t>Standard_E8as_v4</t>
  </si>
  <si>
    <t>Standard_E8-2as_v4</t>
  </si>
  <si>
    <t>Standard_E8-4as_v4</t>
  </si>
  <si>
    <t>Standard_E16-4as_v4</t>
  </si>
  <si>
    <t>Standard_E16-8as_v4</t>
  </si>
  <si>
    <t>Standard_E16as_v4</t>
  </si>
  <si>
    <t>Standard_E20as_v4</t>
  </si>
  <si>
    <t>Standard_E32as_v4</t>
  </si>
  <si>
    <t>Standard_E32-8as_v4</t>
  </si>
  <si>
    <t>Standard_E32-16as_v4</t>
  </si>
  <si>
    <t>Standard_E48as_v4</t>
  </si>
  <si>
    <t>Standard_E64as_v4</t>
  </si>
  <si>
    <t>Standard_E64-16as_v4</t>
  </si>
  <si>
    <t>Standard_E64-32as_v4</t>
  </si>
  <si>
    <t>Standard_E96as_v4</t>
  </si>
  <si>
    <t>Standard_E96-24as_v4</t>
  </si>
  <si>
    <t>Standard_E96-48as_v4</t>
  </si>
  <si>
    <t>Standard_E96ias_v4</t>
  </si>
  <si>
    <t>Easv4 Series Dedicated Host</t>
  </si>
  <si>
    <t>Easv4_Type2</t>
  </si>
  <si>
    <t>Easv4_Type1</t>
  </si>
  <si>
    <t>Easv5 Internal Series</t>
  </si>
  <si>
    <t>Internal_E2as_v5</t>
  </si>
  <si>
    <t>Internal_E4as_v5</t>
  </si>
  <si>
    <t>Internal_E8as_v5</t>
  </si>
  <si>
    <t>Internal_E16as_v5</t>
  </si>
  <si>
    <t>Internal_E20as_v5</t>
  </si>
  <si>
    <t>Internal_E32as_v5</t>
  </si>
  <si>
    <t>Internal_E48as_v5</t>
  </si>
  <si>
    <t>Internal_E64as_v5</t>
  </si>
  <si>
    <t>Internal_E96as_v5</t>
  </si>
  <si>
    <t>Easv5 Promo Series</t>
  </si>
  <si>
    <t>Standard_E2as_v5_Promo</t>
  </si>
  <si>
    <t>Standard_E4as_v5_Promo</t>
  </si>
  <si>
    <t>Standard_E8as_v5_Promo</t>
  </si>
  <si>
    <t>Standard_E16as_v5_Promo</t>
  </si>
  <si>
    <t>Standard_E20as_v5_Promo</t>
  </si>
  <si>
    <t>Standard_E32as_v5_Promo</t>
  </si>
  <si>
    <t>Standard_E48as_v5_Promo</t>
  </si>
  <si>
    <t>Standard_E64as_v5_Promo</t>
  </si>
  <si>
    <t>Standard_E96as_v5_Promo</t>
  </si>
  <si>
    <t>Easv5 Series</t>
  </si>
  <si>
    <t>Standard_E2as_v5</t>
  </si>
  <si>
    <t>Standard_E4as_v5</t>
  </si>
  <si>
    <t>Standard_E4-2as_v5</t>
  </si>
  <si>
    <t>Standard_E8as_v5</t>
  </si>
  <si>
    <t>Standard_E8-2as_v5</t>
  </si>
  <si>
    <t>Standard_E8-4as_v5</t>
  </si>
  <si>
    <t>Standard_E16-8as_v5</t>
  </si>
  <si>
    <t>Standard_E16as_v5</t>
  </si>
  <si>
    <t>Standard_E16-4as_v5</t>
  </si>
  <si>
    <t>Standard_E20as_v5</t>
  </si>
  <si>
    <t>Standard_E32-16as_v5</t>
  </si>
  <si>
    <t>Standard_E32as_v5</t>
  </si>
  <si>
    <t>Standard_E32-8as_v5</t>
  </si>
  <si>
    <t>Standard_E48as_v5</t>
  </si>
  <si>
    <t>Standard_E64-32as_v5</t>
  </si>
  <si>
    <t>Standard_E64as_v5</t>
  </si>
  <si>
    <t>Standard_E64-16as_v5</t>
  </si>
  <si>
    <t>Standard_E96-48as_v5</t>
  </si>
  <si>
    <t>Standard_E96-24as_v5</t>
  </si>
  <si>
    <t>Standard_E96as_v5</t>
  </si>
  <si>
    <t>Standard_E96ias_v5</t>
  </si>
  <si>
    <t>Standard_E112ias_v5</t>
  </si>
  <si>
    <t>Eav4 Series</t>
  </si>
  <si>
    <t>Standard_E2a_v4</t>
  </si>
  <si>
    <t>Standard_E4a_v4</t>
  </si>
  <si>
    <t>Standard_E8a_v4</t>
  </si>
  <si>
    <t>Standard_E16a_v4</t>
  </si>
  <si>
    <t>Standard_E20a_v4</t>
  </si>
  <si>
    <t>Standard_E32a_v4</t>
  </si>
  <si>
    <t>Standard_E48a_v4</t>
  </si>
  <si>
    <t>Standard_E64a_v4</t>
  </si>
  <si>
    <t>Standard_E96a_v4</t>
  </si>
  <si>
    <t>Ebdsv5 Series</t>
  </si>
  <si>
    <t>Standard_E2bds_v5</t>
  </si>
  <si>
    <t>Standard_E4bds_v5</t>
  </si>
  <si>
    <t>Standard_E8bds_v5</t>
  </si>
  <si>
    <t>Standard_E16bds_v5</t>
  </si>
  <si>
    <t>Standard_E32bds_v5</t>
  </si>
  <si>
    <t>Standard_E48bds_v5</t>
  </si>
  <si>
    <t>Standard_E64bds_v5</t>
  </si>
  <si>
    <t>Standard_E96bds_v5</t>
  </si>
  <si>
    <t>Ebsv5 Series</t>
  </si>
  <si>
    <t>Standard_E2bs_v5</t>
  </si>
  <si>
    <t>Standard_E4bs_v5</t>
  </si>
  <si>
    <t>Standard_E8bs_v5</t>
  </si>
  <si>
    <t>Standard_E16bs_v5</t>
  </si>
  <si>
    <t>Standard_E32bs_v5</t>
  </si>
  <si>
    <t>Standard_E48bs_v5</t>
  </si>
  <si>
    <t>Standard_E64bs_v5</t>
  </si>
  <si>
    <t>Standard_E96bs_v5</t>
  </si>
  <si>
    <t>Standard_E2ds_v4</t>
  </si>
  <si>
    <t>Standard_E4-2ds_v4</t>
  </si>
  <si>
    <t>Standard_E4ds_v4</t>
  </si>
  <si>
    <t>Standard_E4ds_v4_ADHType1</t>
  </si>
  <si>
    <t>Standard_E8ds_v4_ADHType1</t>
  </si>
  <si>
    <t>Standard_E8ds_v4</t>
  </si>
  <si>
    <t>Standard_E8-4ds_v4</t>
  </si>
  <si>
    <t>Standard_E8-2ds_v4</t>
  </si>
  <si>
    <t>Standard_E16ds_v4_ADHType1</t>
  </si>
  <si>
    <t>Standard_E16ds_v4</t>
  </si>
  <si>
    <t>Standard_E16-4ds_v4</t>
  </si>
  <si>
    <t>Standard_E16-8ds_v4</t>
  </si>
  <si>
    <t>Standard_E20ds_v4</t>
  </si>
  <si>
    <t>Standard_E32ds_v4</t>
  </si>
  <si>
    <t>Standard_E32ds_v4_ADHType1</t>
  </si>
  <si>
    <t>Standard_E32-16ds_v4</t>
  </si>
  <si>
    <t>Standard_E32-8ds_v4</t>
  </si>
  <si>
    <t>Standard_E48ds_v4</t>
  </si>
  <si>
    <t>Standard_E64-32ds_v4</t>
  </si>
  <si>
    <t>Standard_E64-16ds_v4</t>
  </si>
  <si>
    <t>Standard_E64ds_v4</t>
  </si>
  <si>
    <t>Edsv4 Series Dedicated Host</t>
  </si>
  <si>
    <t>Edsv4_Type 1</t>
  </si>
  <si>
    <t>Edsv4_Type2</t>
  </si>
  <si>
    <t>Edsv5 Series</t>
  </si>
  <si>
    <t>Standard_E2ds_v5</t>
  </si>
  <si>
    <t>Standard_E4ds_v5</t>
  </si>
  <si>
    <t>Standard_E4-2ds_v5</t>
  </si>
  <si>
    <t>Standard_E8-2ds_v5</t>
  </si>
  <si>
    <t>Standard_E8ds_v5</t>
  </si>
  <si>
    <t>Standard_E8-4ds_v5</t>
  </si>
  <si>
    <t>Standard_E16-8ds_v5</t>
  </si>
  <si>
    <t>Standard_E16-4ds_v5</t>
  </si>
  <si>
    <t>Standard_E16ds_v5</t>
  </si>
  <si>
    <t>Standard_E20ds_v5</t>
  </si>
  <si>
    <t>Standard_E32-8ds_v5</t>
  </si>
  <si>
    <t>Standard_E32-16ds_v5</t>
  </si>
  <si>
    <t>Standard_E32ds_v5</t>
  </si>
  <si>
    <t>Standard_E48ds_v5</t>
  </si>
  <si>
    <t>Standard_E64-16ds_v5</t>
  </si>
  <si>
    <t>Standard_E64ds_v5</t>
  </si>
  <si>
    <t>Standard_E64-32ds_v5</t>
  </si>
  <si>
    <t>Standard_E96-24ds_v5</t>
  </si>
  <si>
    <t>Standard_E96-48ds_v5</t>
  </si>
  <si>
    <t>Standard_E96ds_v5</t>
  </si>
  <si>
    <t>Edv4 Series</t>
  </si>
  <si>
    <t>Standard_E2d_v4</t>
  </si>
  <si>
    <t>Standard_E4d_v4</t>
  </si>
  <si>
    <t>Standard_E8d_v4</t>
  </si>
  <si>
    <t>Standard_E16d_v4</t>
  </si>
  <si>
    <t>Standard_E20d_v4</t>
  </si>
  <si>
    <t>Standard_E32d_v4</t>
  </si>
  <si>
    <t>Standard_E48d_v4</t>
  </si>
  <si>
    <t>Standard_E64d_v4</t>
  </si>
  <si>
    <t>Edv5 Series</t>
  </si>
  <si>
    <t>Standard_E2d_v5</t>
  </si>
  <si>
    <t>Standard_E4d_v5</t>
  </si>
  <si>
    <t>Standard_E8d_v5</t>
  </si>
  <si>
    <t>Standard_E16d_v5</t>
  </si>
  <si>
    <t>Standard_E20d_v5</t>
  </si>
  <si>
    <t>Standard_E32d_v5</t>
  </si>
  <si>
    <t>Standard_E48d_v5</t>
  </si>
  <si>
    <t>Standard_E64d_v5</t>
  </si>
  <si>
    <t>Standard_E96d_v5</t>
  </si>
  <si>
    <t>Standard_E104id_v5</t>
  </si>
  <si>
    <t>Standard_E2s_v4</t>
  </si>
  <si>
    <t>Standard_E4s_v4</t>
  </si>
  <si>
    <t>Standard_E4s_v4_ADHType1</t>
  </si>
  <si>
    <t>Standard_E4-2s_v4</t>
  </si>
  <si>
    <t>Standard_E8-4s_v4</t>
  </si>
  <si>
    <t>Standard_E8s_v4_ADHType1</t>
  </si>
  <si>
    <t>Standard_E8s_v4</t>
  </si>
  <si>
    <t>Standard_E8-2s_v4</t>
  </si>
  <si>
    <t>Standard_E16s_v4_ADHType1</t>
  </si>
  <si>
    <t>Standard_E16-8s_v4</t>
  </si>
  <si>
    <t>Standard_E16-4s_v4</t>
  </si>
  <si>
    <t>Standard_E16s_v4</t>
  </si>
  <si>
    <t>Standard_E20s_v4</t>
  </si>
  <si>
    <t>Standard_E32s_v4_ADHType1</t>
  </si>
  <si>
    <t>Standard_E32s_v4</t>
  </si>
  <si>
    <t>Standard_E32-16s_v4</t>
  </si>
  <si>
    <t>Standard_E32-8s_v4</t>
  </si>
  <si>
    <t>Standard_E48s_v4</t>
  </si>
  <si>
    <t>Standard_E64-32s_v4</t>
  </si>
  <si>
    <t>Standard_E64-16s_v4</t>
  </si>
  <si>
    <t>Standard_E64s_v4</t>
  </si>
  <si>
    <t>Standard_E64is_v4_SPECIAL</t>
  </si>
  <si>
    <t>Esv5 Series</t>
  </si>
  <si>
    <t>Standard_E2s_v5</t>
  </si>
  <si>
    <t>Standard_E4-2s_v5</t>
  </si>
  <si>
    <t>Standard_E4s_v5</t>
  </si>
  <si>
    <t>Standard_E8-2s_v5</t>
  </si>
  <si>
    <t>Standard_E8-4s_v5</t>
  </si>
  <si>
    <t>Standard_E8s_v5</t>
  </si>
  <si>
    <t>Standard_E16-4s_v5</t>
  </si>
  <si>
    <t>Standard_E16s_v5</t>
  </si>
  <si>
    <t>Standard_E16-8s_v5</t>
  </si>
  <si>
    <t>Standard_E20s_v5</t>
  </si>
  <si>
    <t>Standard_E32-16s_v5</t>
  </si>
  <si>
    <t>Standard_E32-8s_v5</t>
  </si>
  <si>
    <t>Standard_E32s_v5</t>
  </si>
  <si>
    <t>Standard_E48s_v5</t>
  </si>
  <si>
    <t>Standard_E64-16s_v5</t>
  </si>
  <si>
    <t>Standard_E64-32s_v5</t>
  </si>
  <si>
    <t>Standard_E64s_v5</t>
  </si>
  <si>
    <t>Standard_E96-24s_v5</t>
  </si>
  <si>
    <t>Standard_E96s_v5</t>
  </si>
  <si>
    <t>Standard_E96-48s_v5</t>
  </si>
  <si>
    <t>Ev3 Series</t>
  </si>
  <si>
    <t>Standard_E2_v3</t>
  </si>
  <si>
    <t>Standard_E4_v3</t>
  </si>
  <si>
    <t>Standard_E8_v3</t>
  </si>
  <si>
    <t>Standard_E16_v3</t>
  </si>
  <si>
    <t>Standard_E20_v3</t>
  </si>
  <si>
    <t>Standard_E32_v3</t>
  </si>
  <si>
    <t>Standard_E48_v3</t>
  </si>
  <si>
    <t>Standard_E64_v3</t>
  </si>
  <si>
    <t>Ev4 Series</t>
  </si>
  <si>
    <t>Standard_E2_v4</t>
  </si>
  <si>
    <t>Standard_E4_v4</t>
  </si>
  <si>
    <t>Standard_E8_v4</t>
  </si>
  <si>
    <t>Standard_E16_v4</t>
  </si>
  <si>
    <t>Standard_E20_v4</t>
  </si>
  <si>
    <t>Standard_E32_v4</t>
  </si>
  <si>
    <t>Standard_E48_v4</t>
  </si>
  <si>
    <t>Standard_E64_v4</t>
  </si>
  <si>
    <t>Ev5 Series</t>
  </si>
  <si>
    <t>Standard_E2_v5</t>
  </si>
  <si>
    <t>Standard_E4_v5</t>
  </si>
  <si>
    <t>Standard_E8_v5</t>
  </si>
  <si>
    <t>Standard_E16_v5</t>
  </si>
  <si>
    <t>Standard_E20_v5</t>
  </si>
  <si>
    <t>Standard_E32_v5</t>
  </si>
  <si>
    <t>Standard_E48_v5</t>
  </si>
  <si>
    <t>Standard_E64_v5</t>
  </si>
  <si>
    <t>Standard_E96_v5</t>
  </si>
  <si>
    <t>Standard_E104i_v5</t>
  </si>
  <si>
    <t>Standard_F1</t>
  </si>
  <si>
    <t>Standard_F2</t>
  </si>
  <si>
    <t>Standard_F4</t>
  </si>
  <si>
    <t>Standard_F8</t>
  </si>
  <si>
    <t>Standard_F16</t>
  </si>
  <si>
    <t>FS Series</t>
  </si>
  <si>
    <t>Standard_F1s</t>
  </si>
  <si>
    <t>Standard_F2s</t>
  </si>
  <si>
    <t>Standard_F4s</t>
  </si>
  <si>
    <t>Standard_F8s</t>
  </si>
  <si>
    <t>Standard_F16s</t>
  </si>
  <si>
    <t>Standard_F2s_v2</t>
  </si>
  <si>
    <t>Standard_F4s_v2</t>
  </si>
  <si>
    <t>Standard_F8s_v2</t>
  </si>
  <si>
    <t>Standard_F16s_v2</t>
  </si>
  <si>
    <t>Standard_F32s_v2</t>
  </si>
  <si>
    <t>Standard_F48s_v2</t>
  </si>
  <si>
    <t>Standard_F64s_v2</t>
  </si>
  <si>
    <t>Standard_F72fs_v2</t>
  </si>
  <si>
    <t>Standard_F72s_v2</t>
  </si>
  <si>
    <t>FSv2 Series Dedicated Host</t>
  </si>
  <si>
    <t>Fsv2_Type2</t>
  </si>
  <si>
    <t>Fsv2 Type3</t>
  </si>
  <si>
    <t>Fsv2_Type4</t>
  </si>
  <si>
    <t>FX Series Linux</t>
  </si>
  <si>
    <t>Standard_FX4mds</t>
  </si>
  <si>
    <t>Standard_FX12mds</t>
  </si>
  <si>
    <t>Standard_FX24mds</t>
  </si>
  <si>
    <t>Standard_FX36mds</t>
  </si>
  <si>
    <t>Standard_FX48mds</t>
  </si>
  <si>
    <t>Gen7 IaaS LI_internal series Linux</t>
  </si>
  <si>
    <t>Internal_Gen7_IaaS_LI</t>
  </si>
  <si>
    <t>H Series</t>
  </si>
  <si>
    <t>Standard_H8</t>
  </si>
  <si>
    <t>Standard_H16</t>
  </si>
  <si>
    <t>H Series High Memory</t>
  </si>
  <si>
    <t>Standard_H8m</t>
  </si>
  <si>
    <t>Standard_H16m</t>
  </si>
  <si>
    <t>H Series High Memory Low Latency</t>
  </si>
  <si>
    <t>Standard_H16mr</t>
  </si>
  <si>
    <t>H Series Low Latency</t>
  </si>
  <si>
    <t>Standard_H16r</t>
  </si>
  <si>
    <t>HBS Series</t>
  </si>
  <si>
    <t>Standard_HB60-15rs</t>
  </si>
  <si>
    <t>Standard_HB60-45rs</t>
  </si>
  <si>
    <t>Standard_HB60-30rs</t>
  </si>
  <si>
    <t>Standard_HB60rs</t>
  </si>
  <si>
    <t>HBSv2 Series Low Latency</t>
  </si>
  <si>
    <t>Standard_HB120rs_v2</t>
  </si>
  <si>
    <t>Standard_HB120-16rs_v2</t>
  </si>
  <si>
    <t>Standard_HB120-64rs_v2</t>
  </si>
  <si>
    <t>Standard_HB120-96rs_v2</t>
  </si>
  <si>
    <t>Standard_HB120-32rs_v2</t>
  </si>
  <si>
    <t>HBrsv3 Series Low Latency</t>
  </si>
  <si>
    <t>Standard_HB120-16rs_v3</t>
  </si>
  <si>
    <t>Standard_HB120rs_v3</t>
  </si>
  <si>
    <t>Standard_HB120-32rs_v3</t>
  </si>
  <si>
    <t>Standard_HB120-96rs_v3</t>
  </si>
  <si>
    <t>Standard_HB120-64rs_v3</t>
  </si>
  <si>
    <t>HCS Series</t>
  </si>
  <si>
    <t>Standard_HC44rs</t>
  </si>
  <si>
    <t>Standard_HC44-32rs</t>
  </si>
  <si>
    <t>Standard_HC44-16rs</t>
  </si>
  <si>
    <t>Internal series Linux</t>
  </si>
  <si>
    <t>Internal_NPMM_128ids</t>
  </si>
  <si>
    <t>Internal_NPHH_128ids</t>
  </si>
  <si>
    <t>LS Series</t>
  </si>
  <si>
    <t>Standard_L4s</t>
  </si>
  <si>
    <t>Standard_L8s</t>
  </si>
  <si>
    <t>Standard_L16s</t>
  </si>
  <si>
    <t>Standard_L32s</t>
  </si>
  <si>
    <t>LSv2 Series</t>
  </si>
  <si>
    <t>Standard_L8s_v2</t>
  </si>
  <si>
    <t>Standard_L16s_v2</t>
  </si>
  <si>
    <t>Standard_L32s_v2</t>
  </si>
  <si>
    <t>Standard_L48s_v2</t>
  </si>
  <si>
    <t>Standard_L64s_v2</t>
  </si>
  <si>
    <t>Standard_L80s_v2</t>
  </si>
  <si>
    <t>Standard_L96s_v2</t>
  </si>
  <si>
    <t>LSv2 Series Dedicated Host</t>
  </si>
  <si>
    <t>Lsv2_Type1</t>
  </si>
  <si>
    <t>Lasv3 Series Linux</t>
  </si>
  <si>
    <t>Standard_L8as_v3</t>
  </si>
  <si>
    <t>Standard_L16as_v3</t>
  </si>
  <si>
    <t>Standard_L32as_v3</t>
  </si>
  <si>
    <t>Standard_L48as_v3</t>
  </si>
  <si>
    <t>Standard_L64as_v3</t>
  </si>
  <si>
    <t>Standard_L80as_v3</t>
  </si>
  <si>
    <t>Standard_L96ias_v3</t>
  </si>
  <si>
    <t>Standard_L112ias_v3</t>
  </si>
  <si>
    <t>Lsv2_Internal-Series Linux</t>
  </si>
  <si>
    <t>Internal_L128is_v2</t>
  </si>
  <si>
    <t>Lsv3 Series Linux</t>
  </si>
  <si>
    <t>Standard_L8s_v3</t>
  </si>
  <si>
    <t>Standard_L16s_v3</t>
  </si>
  <si>
    <t>Standard_L32s_v3</t>
  </si>
  <si>
    <t>Standard_L48s_v3</t>
  </si>
  <si>
    <t>Standard_L64s_v3</t>
  </si>
  <si>
    <t>Standard_L80s_v3</t>
  </si>
  <si>
    <t>Standard_L96is_v3</t>
  </si>
  <si>
    <t>Standard_L112is_v3</t>
  </si>
  <si>
    <t>MS Series</t>
  </si>
  <si>
    <t>Standard_M64</t>
  </si>
  <si>
    <t>Standard_M64s</t>
  </si>
  <si>
    <t>Standard_M128</t>
  </si>
  <si>
    <t>Standard_M128s</t>
  </si>
  <si>
    <t>MS Series Dedicated Host</t>
  </si>
  <si>
    <t>Ms_Type1</t>
  </si>
  <si>
    <t>MS Series Fractional</t>
  </si>
  <si>
    <t>Standard_M16s</t>
  </si>
  <si>
    <t>Standard_M32s</t>
  </si>
  <si>
    <t>MS Series Fractional High Memory</t>
  </si>
  <si>
    <t>Standard_M8ms</t>
  </si>
  <si>
    <t>Standard_M8-2ms</t>
  </si>
  <si>
    <t>Standard_M8-4ms</t>
  </si>
  <si>
    <t>Standard_M16ms</t>
  </si>
  <si>
    <t>Standard_M16-8ms</t>
  </si>
  <si>
    <t>Standard_M16-4ms</t>
  </si>
  <si>
    <t>Standard_M32ms</t>
  </si>
  <si>
    <t>Standard_M32-8ms</t>
  </si>
  <si>
    <t>Standard_M32-16ms</t>
  </si>
  <si>
    <t>Standard_M32ls</t>
  </si>
  <si>
    <t>Standard_M64ls</t>
  </si>
  <si>
    <t>MS Series Fractional Tiny</t>
  </si>
  <si>
    <t>Standard_M32ts</t>
  </si>
  <si>
    <t>MS Series HM Dedicated Host</t>
  </si>
  <si>
    <t>Msm_Type1</t>
  </si>
  <si>
    <t>MS Series High Memory</t>
  </si>
  <si>
    <t>Standard_M64ms</t>
  </si>
  <si>
    <t>Standard_M64-32ms</t>
  </si>
  <si>
    <t>Standard_M64-16ms</t>
  </si>
  <si>
    <t>Standard_M64m</t>
  </si>
  <si>
    <t>Standard_M128m</t>
  </si>
  <si>
    <t>Standard_M128ms</t>
  </si>
  <si>
    <t>Standard_M128-64ms</t>
  </si>
  <si>
    <t>Standard_M128-32ms</t>
  </si>
  <si>
    <t>MSv2 Series</t>
  </si>
  <si>
    <t>Standard_M208-52s_v2</t>
  </si>
  <si>
    <t>Standard_M208-104s_v2</t>
  </si>
  <si>
    <t>Standard_M208s_v2</t>
  </si>
  <si>
    <t>Standard_M416is_v2</t>
  </si>
  <si>
    <t>Standard_M416-104s_v2</t>
  </si>
  <si>
    <t>Standard_M416s_v2</t>
  </si>
  <si>
    <t>Standard_M416-208s_v2</t>
  </si>
  <si>
    <t>MSv2 Series 192ms</t>
  </si>
  <si>
    <t>Standard_M192ims_v2</t>
  </si>
  <si>
    <t>MSv2 Series 32</t>
  </si>
  <si>
    <t>Standard_M32ms_v2</t>
  </si>
  <si>
    <t>MSv2 Series 64</t>
  </si>
  <si>
    <t>Standard_M64s_v2</t>
  </si>
  <si>
    <t>MSv2 Series Dedicated Host</t>
  </si>
  <si>
    <t>Msv2_Type1</t>
  </si>
  <si>
    <t>MSv2 Series Disk 192s</t>
  </si>
  <si>
    <t>Standard_M192is_v2</t>
  </si>
  <si>
    <t>MSv2 Series Fractional</t>
  </si>
  <si>
    <t>Standard_M24s_v2</t>
  </si>
  <si>
    <t>Standard_M48s_v2</t>
  </si>
  <si>
    <t>Standard_M96s_v2</t>
  </si>
  <si>
    <t>Standard_M192s_v2</t>
  </si>
  <si>
    <t>MSv2 Series Fractional High Memory</t>
  </si>
  <si>
    <t>Standard_M24ms_v2</t>
  </si>
  <si>
    <t>Standard_M48ms_v2</t>
  </si>
  <si>
    <t>Standard_M96ms_v2</t>
  </si>
  <si>
    <t>Standard_M192ms_v2</t>
  </si>
  <si>
    <t>MSv2 Series Fractional High Memory 128s</t>
  </si>
  <si>
    <t>Standard_M128s_v2</t>
  </si>
  <si>
    <t>MSv2 Series HM Dedicated Host</t>
  </si>
  <si>
    <t>Msmv2_Type1</t>
  </si>
  <si>
    <t>MSv2 Series High Memory</t>
  </si>
  <si>
    <t>Standard_M208ms_v2</t>
  </si>
  <si>
    <t>Standard_M208-104ms_v2</t>
  </si>
  <si>
    <t>Standard_M208-52ms_v2</t>
  </si>
  <si>
    <t>Standard_M416ms_v2</t>
  </si>
  <si>
    <t>Standard_M416-208ms_v2</t>
  </si>
  <si>
    <t>Standard_M416-104ms_v2</t>
  </si>
  <si>
    <t>MSv2 Series High Memory 128ms</t>
  </si>
  <si>
    <t>Standard_M128ms_v2</t>
  </si>
  <si>
    <t>MSv2 Series MedMem Dedicated Host</t>
  </si>
  <si>
    <t>Msv2MedMem Type1</t>
  </si>
  <si>
    <t>MSv2 Series MedMem HM Dedicated Host</t>
  </si>
  <si>
    <t>Msmv2MedMem Type1</t>
  </si>
  <si>
    <t>MSv2 Series Memory</t>
  </si>
  <si>
    <t>Standard_M64ms_v2</t>
  </si>
  <si>
    <t>MSv2 XS Series</t>
  </si>
  <si>
    <t>Standard_M420xs_v2</t>
  </si>
  <si>
    <t>Standard_M420ixs_v2</t>
  </si>
  <si>
    <t>MdSv2 Series 32 Disk</t>
  </si>
  <si>
    <t>Standard_M32dms_v2</t>
  </si>
  <si>
    <t>MdSv2 Series 64 Disk</t>
  </si>
  <si>
    <t>Standard_M64ds_v2</t>
  </si>
  <si>
    <t>MdSv2 Series Disk</t>
  </si>
  <si>
    <t>Standard_M192idms_v2</t>
  </si>
  <si>
    <t>MdSv2 Series Disk 192s</t>
  </si>
  <si>
    <t>Standard_M192ids_v2</t>
  </si>
  <si>
    <t>MdSv2 Series Fractional High Memory Disk</t>
  </si>
  <si>
    <t>Standard_M128ds_v2</t>
  </si>
  <si>
    <t>MdSv2 Series High Memory Disk</t>
  </si>
  <si>
    <t>Standard_M128dms_v2</t>
  </si>
  <si>
    <t>MdSv2 Series Memory Disk</t>
  </si>
  <si>
    <t>Standard_M64dms_v2</t>
  </si>
  <si>
    <t>Mdsv2 Series Dedicated Host</t>
  </si>
  <si>
    <t>Mdsv2MedMem_Type1</t>
  </si>
  <si>
    <t>Mdsv2 Series HM Dedicated Host</t>
  </si>
  <si>
    <t>Msv2 XS Large Series</t>
  </si>
  <si>
    <t>Standard_M832ixs</t>
  </si>
  <si>
    <t>NC Series</t>
  </si>
  <si>
    <t>Standard_NC6</t>
  </si>
  <si>
    <t>Standard_NC12</t>
  </si>
  <si>
    <t>Standard_NC24</t>
  </si>
  <si>
    <t>NC Series Low Latency</t>
  </si>
  <si>
    <t>Standard_NC24r</t>
  </si>
  <si>
    <t>NCSv2 Series</t>
  </si>
  <si>
    <t>Standard_NC6s_v2</t>
  </si>
  <si>
    <t>Standard_NC12s_v2</t>
  </si>
  <si>
    <t>Standard_NC24s_v2</t>
  </si>
  <si>
    <t>NCSv2 Series Low Latency</t>
  </si>
  <si>
    <t>Standard_NC24rs_v2</t>
  </si>
  <si>
    <t>NCSv3 Series</t>
  </si>
  <si>
    <t>Standard_NC6s_v3</t>
  </si>
  <si>
    <t>Standard_NC12s_v3</t>
  </si>
  <si>
    <t>Standard_NC24s_v3</t>
  </si>
  <si>
    <t>NCSv3 Series Low Latency</t>
  </si>
  <si>
    <t>Standard_NC24rs_v3</t>
  </si>
  <si>
    <t>NCads A100 v4 Series Linux</t>
  </si>
  <si>
    <t>Standard_NC24ads_A100_v4</t>
  </si>
  <si>
    <t>Standard_NC48ads_A100_v4</t>
  </si>
  <si>
    <t>Standard_NC96ads_A100_v4</t>
  </si>
  <si>
    <t>NCas T4 v3 Series</t>
  </si>
  <si>
    <t>Standard_NC4as_T4_v3</t>
  </si>
  <si>
    <t>Standard_NC8as_T4_v3</t>
  </si>
  <si>
    <t>Standard_NC16as_T4_v3</t>
  </si>
  <si>
    <t>Standard_NC64as_T4_v3</t>
  </si>
  <si>
    <t>NCasA10_v4 Linux</t>
  </si>
  <si>
    <t>Standard_NC8ads_A10_v4</t>
  </si>
  <si>
    <t>Standard_NC16ads_A10_v4</t>
  </si>
  <si>
    <t>Standard_NC32ads_A10_v4</t>
  </si>
  <si>
    <t>NDS Series</t>
  </si>
  <si>
    <t>Standard_ND6s</t>
  </si>
  <si>
    <t>Standard_ND12s</t>
  </si>
  <si>
    <t>Standard_ND24s</t>
  </si>
  <si>
    <t>NDS Series Low Latency</t>
  </si>
  <si>
    <t>Standard_ND24rs</t>
  </si>
  <si>
    <t>NDamsr A100 v4 Series Linux</t>
  </si>
  <si>
    <t>Standard_ND96amsr_A100_v4</t>
  </si>
  <si>
    <t>NDasr A100 v4 Series</t>
  </si>
  <si>
    <t>Standard_ND96asr_v4</t>
  </si>
  <si>
    <t>Standard_ND96asr_A100_v4</t>
  </si>
  <si>
    <t>NDrSv2 Series Low Latency</t>
  </si>
  <si>
    <t>Standard_ND40rs_v2</t>
  </si>
  <si>
    <t>NP Series</t>
  </si>
  <si>
    <t>Standard_NP10s</t>
  </si>
  <si>
    <t>Standard_NP20s</t>
  </si>
  <si>
    <t>Standard_NP40s</t>
  </si>
  <si>
    <t>NV Series</t>
  </si>
  <si>
    <t>Standard_NV6</t>
  </si>
  <si>
    <t>Standard_NV12</t>
  </si>
  <si>
    <t>Standard_NV24</t>
  </si>
  <si>
    <t>NVSv3 Series</t>
  </si>
  <si>
    <t>Standard_NV12s_v3</t>
  </si>
  <si>
    <t>Standard_NV24s_v3</t>
  </si>
  <si>
    <t>Standard_NV48s_v3</t>
  </si>
  <si>
    <t>NVSv3 Series Dedicated Host</t>
  </si>
  <si>
    <t>NVsv3_Type1</t>
  </si>
  <si>
    <t>NVSv3 Series High Memory</t>
  </si>
  <si>
    <t>Standard_NV24ms_v3</t>
  </si>
  <si>
    <t>Standard_NV32ms_v3</t>
  </si>
  <si>
    <t>NVadsA10_v5 Linux</t>
  </si>
  <si>
    <t>Standard_NV6ads_A10_v5</t>
  </si>
  <si>
    <t>Standard_NV12ads_A10_v5</t>
  </si>
  <si>
    <t>Standard_NV18ads_A10_v5</t>
  </si>
  <si>
    <t>Standard_NV36ads_A10_v5</t>
  </si>
  <si>
    <t>Standard_NV36adms_A10_v5</t>
  </si>
  <si>
    <t>Standard_NV72ads_A10_v5</t>
  </si>
  <si>
    <t>NVasv4 Series</t>
  </si>
  <si>
    <t>Standard_NV4as_v4</t>
  </si>
  <si>
    <t>Standard_NV8as_v4</t>
  </si>
  <si>
    <t>Standard_NV16as_v4</t>
  </si>
  <si>
    <t>Standard_NV32as_v4</t>
  </si>
  <si>
    <t>NVasv4 Series Dedicated Host</t>
  </si>
  <si>
    <t>NVasv4_Type1</t>
  </si>
  <si>
    <t>Red Hat Enterprise Linux</t>
  </si>
  <si>
    <t>RHEL_1-4_vCPU</t>
  </si>
  <si>
    <t>RHEL_5plus_vCPU</t>
  </si>
  <si>
    <t>Red Hat Enterprise Linux for SAP with HA</t>
  </si>
  <si>
    <t>RHEL_SAP_HA_1-4_vCPU</t>
  </si>
  <si>
    <t>RHEL_SAP_HA_5plus_vCPU</t>
  </si>
  <si>
    <t>Red Hat Enterprise Linux with HA</t>
  </si>
  <si>
    <t>RHEL_HA_1-4_vCPU</t>
  </si>
  <si>
    <t>RHEL_HA_5plus_vCPU</t>
  </si>
  <si>
    <t>52 vCPU VM</t>
  </si>
  <si>
    <t>SQL on IaaS</t>
  </si>
  <si>
    <t>Standard_SQLG7_AMD_IaaS</t>
  </si>
  <si>
    <t>SQLG7</t>
  </si>
  <si>
    <t>SQLG7_NP104s</t>
  </si>
  <si>
    <t>SQLG7_IaaS</t>
  </si>
  <si>
    <t>Standard_SQLG7_NVME</t>
  </si>
  <si>
    <t>Standard_SQLG7_AMD_NVME</t>
  </si>
  <si>
    <t>SUSE Linux Enterprise Server Priority</t>
  </si>
  <si>
    <t>SLES_Priority_1_vCPU_VM</t>
  </si>
  <si>
    <t>SLES_Priority_2-4_vCPU_VM</t>
  </si>
  <si>
    <t>SLES_Priority_6_vCPU_VM</t>
  </si>
  <si>
    <t>SLES_Priority_8plus_vCPU_VM</t>
  </si>
  <si>
    <t>SUSE Linux Enterprise Server Standard</t>
  </si>
  <si>
    <t>SLES_Standard_1-2_vCPU_VM</t>
  </si>
  <si>
    <t>SLES_Standard_3-4_vCPU_VM</t>
  </si>
  <si>
    <t>SLES_Standard_5plus_vCPU_VM</t>
  </si>
  <si>
    <t>SUSE Linux Enterprise Server for HPC Priority</t>
  </si>
  <si>
    <t>SLES_HPC_Priority_1-2_vCPU_VM</t>
  </si>
  <si>
    <t>SLES_HPC_Priority_3-4_vCPU_VM</t>
  </si>
  <si>
    <t>SLES_HPC_Priority_5plus_vCPU_VM</t>
  </si>
  <si>
    <t>SUSE Linux Enterprise Server for HPC Standard</t>
  </si>
  <si>
    <t>SLES_HPC_Standard_1-2_vCPU_VM</t>
  </si>
  <si>
    <t>SLES_HPC_Standard_3-4_vCPU_VM</t>
  </si>
  <si>
    <t>SLES_HPC_Standard_5plus_vCPU_VM</t>
  </si>
  <si>
    <t>SUSE Linux Enterprise Server for SAP Standard</t>
  </si>
  <si>
    <t>SLES_SAP_Priority_1-2_vCPU_VM</t>
  </si>
  <si>
    <t>SLES_SAP_Priority_3-4_vCPU_VM</t>
  </si>
  <si>
    <t>SLES_SAP_Priority_5plus_vCPU_VM</t>
  </si>
  <si>
    <t>Av2 Series</t>
  </si>
  <si>
    <t>Standard_A1_v2</t>
  </si>
  <si>
    <t>Standard_A2_v2</t>
  </si>
  <si>
    <t>Standard_A4_v2</t>
  </si>
  <si>
    <t>Standard_A8_v2</t>
  </si>
  <si>
    <t>Av2 Series High Memory</t>
  </si>
  <si>
    <t>Standard_A2m_v2</t>
  </si>
  <si>
    <t>Standard_A4m_v2</t>
  </si>
  <si>
    <t>Standard_A8m_v2</t>
  </si>
  <si>
    <t>Red_Hat_OpenShift_Compute_Optimized_v2_48_vCPU</t>
  </si>
  <si>
    <t>Red_Hat_OpenShift_Compute_Optimized_v2_64_vCPU</t>
  </si>
  <si>
    <t>Red_Hat_OpenShift_Compute_Optimized_v2_72_vCPU</t>
  </si>
  <si>
    <t>Azure_Red_Hat_OpenShift_General_Purpose_1_vCPU</t>
  </si>
  <si>
    <t>Azure_Red_Hat_OpenShift_General_Purpose_2_vCPU</t>
  </si>
  <si>
    <t>Azure_Red_Hat_OpenShift_General_Purpose_20_vCPU</t>
  </si>
  <si>
    <t>Azure_Red_Hat_OpenShift_General_Purpose_24_vCPU</t>
  </si>
  <si>
    <t>Red_Hat_OpenShift_General_Purpose_v3_48_vCPU</t>
  </si>
  <si>
    <t>Red_Hat_OpenShift_General_Purpose_v3_64_vCPU</t>
  </si>
  <si>
    <t>Azure_Red_Hat_OpenShift_General_Purpose_96_vCPU</t>
  </si>
  <si>
    <t>Red_Hat_OpenShift_Memory_Optimized_v3_2_vCPU</t>
  </si>
  <si>
    <t>Red_Hat_OpenShift_Memory_Optimized_v3_20_vCPU</t>
  </si>
  <si>
    <t>Red_Hat_OpenShift_Memory_Optimized_v3_48_vCPU</t>
  </si>
  <si>
    <t>Red_Hat_OpenShift_Memory_Optimized_v3_64_vCPU</t>
  </si>
  <si>
    <t>Red_Hat_OpenShift_Memory_Optimized_v3_80_vCPU</t>
  </si>
  <si>
    <t>Red_Hat_OpenShift_Memory_Optimized_v3_96_vCPU</t>
  </si>
  <si>
    <t>Red_Hat_OpenShift_Memory_Optimized_v3_104_vCPU</t>
  </si>
  <si>
    <t>Red_Hat_OpenShift_Memory_Optimized_v3_128_vCPU</t>
  </si>
  <si>
    <t>Red_Hat_OpenShift_Memory_Optimized_v3_192_vCPU</t>
  </si>
  <si>
    <t>Basv2 Series</t>
  </si>
  <si>
    <t>Standard_B2ats_v2</t>
  </si>
  <si>
    <t>Standard_B2as_v2</t>
  </si>
  <si>
    <t>Standard_B2als_v2</t>
  </si>
  <si>
    <t>Standard_B4as_v2</t>
  </si>
  <si>
    <t>Standard_B4als_v2</t>
  </si>
  <si>
    <t>Standard_B8als_v2</t>
  </si>
  <si>
    <t>Standard_B8as_v2</t>
  </si>
  <si>
    <t>Standard_B16als_v2</t>
  </si>
  <si>
    <t>Standard_B16as_v2</t>
  </si>
  <si>
    <t>Standard_B32as_v2</t>
  </si>
  <si>
    <t>Standard_B32als_v2</t>
  </si>
  <si>
    <t>Bpsv2 Series</t>
  </si>
  <si>
    <t>Standard_B2pls_v2</t>
  </si>
  <si>
    <t>Standard_B2ps_v2</t>
  </si>
  <si>
    <t>Standard_B2pts_v2</t>
  </si>
  <si>
    <t>Standard_B4ps_v2</t>
  </si>
  <si>
    <t>Standard_B4pls_v2</t>
  </si>
  <si>
    <t>Standard_B8pls_v2</t>
  </si>
  <si>
    <t>Standard_B8ps_v2</t>
  </si>
  <si>
    <t>Standard_B16pls_v2</t>
  </si>
  <si>
    <t>Standard_B16ps_v2</t>
  </si>
  <si>
    <t>Bsv2 Series</t>
  </si>
  <si>
    <t>Standard_B2ts_v2</t>
  </si>
  <si>
    <t>Standard_B2ls_v2</t>
  </si>
  <si>
    <t>Standard_B2s_v2</t>
  </si>
  <si>
    <t>Standard_B4s_v2</t>
  </si>
  <si>
    <t>Standard_B4ls_v2</t>
  </si>
  <si>
    <t>Standard_B8s_v2</t>
  </si>
  <si>
    <t>Standard_B8ls_v2</t>
  </si>
  <si>
    <t>Standard_B16s_v2</t>
  </si>
  <si>
    <t>Standard_B16ls_v2</t>
  </si>
  <si>
    <t>Standard_B32ls_v2</t>
  </si>
  <si>
    <t>Standard_B32s_v2</t>
  </si>
  <si>
    <t>DCadsv5-series DedicatedHost</t>
  </si>
  <si>
    <t>DCadsv5 Type 1</t>
  </si>
  <si>
    <t>DCadsv5-series Linux</t>
  </si>
  <si>
    <t>Standard_DC2ads_v5</t>
  </si>
  <si>
    <t>Standard_DC4ads_v5</t>
  </si>
  <si>
    <t>Standard_DC8ads_v5</t>
  </si>
  <si>
    <t>Standard_DC16ads_v5</t>
  </si>
  <si>
    <t>Standard_DC32ads_v5</t>
  </si>
  <si>
    <t>Standard_DC48ads_v5</t>
  </si>
  <si>
    <t>Standard_DC64ads_v5</t>
  </si>
  <si>
    <t>Standard_DC96ads_v5</t>
  </si>
  <si>
    <t>DCasv5-series DedicatedHost</t>
  </si>
  <si>
    <t>DCasv5 Type 1</t>
  </si>
  <si>
    <t>DCasv5-series Linux</t>
  </si>
  <si>
    <t>Standard_DC2as_v5</t>
  </si>
  <si>
    <t>Standard_DC4as_v5</t>
  </si>
  <si>
    <t>Standard_DC8as_v5</t>
  </si>
  <si>
    <t>Standard_DC16as_v5</t>
  </si>
  <si>
    <t>Standard_DC32as_v5</t>
  </si>
  <si>
    <t>Standard_DC48as_v5</t>
  </si>
  <si>
    <t>Standard_DC64as_v5</t>
  </si>
  <si>
    <t>Standard_DC96as_v5</t>
  </si>
  <si>
    <t>DCdsv3 Series DedicatedHost</t>
  </si>
  <si>
    <t>DCdsv3 Type1</t>
  </si>
  <si>
    <t>DCsv2 Series Dedicated Host</t>
  </si>
  <si>
    <t>DCsv2 Type 1</t>
  </si>
  <si>
    <t>DCsv3 Series DedicatedHost</t>
  </si>
  <si>
    <t>DCsv3 Type1</t>
  </si>
  <si>
    <t>Dadsv5 Series DedicatedHost</t>
  </si>
  <si>
    <t>Dadsv5_Type1</t>
  </si>
  <si>
    <t>Dasv5 Series DedicatedHost</t>
  </si>
  <si>
    <t>Dasv5_Type1</t>
  </si>
  <si>
    <t>Ddsv5 Series DedicatedHost</t>
  </si>
  <si>
    <t>Ddsv5_Type1</t>
  </si>
  <si>
    <t>Dldsv5 Series</t>
  </si>
  <si>
    <t>Standard_D2lds_v5</t>
  </si>
  <si>
    <t>Standard_D4lds_v5</t>
  </si>
  <si>
    <t>Standard_D8lds_v5</t>
  </si>
  <si>
    <t>Standard_D16lds_v5</t>
  </si>
  <si>
    <t>Standard_D32lds_v5</t>
  </si>
  <si>
    <t>Standard_D48lds_v5</t>
  </si>
  <si>
    <t>Standard_D64lds_v5</t>
  </si>
  <si>
    <t>Standard_D96lds_v5</t>
  </si>
  <si>
    <t>Dlsv5 Series</t>
  </si>
  <si>
    <t>Standard_D2ls_v5</t>
  </si>
  <si>
    <t>Standard_D4ls_v5</t>
  </si>
  <si>
    <t>Standard_D8ls_v5</t>
  </si>
  <si>
    <t>Standard_D16ls_v5</t>
  </si>
  <si>
    <t>Standard_D32ls_v5</t>
  </si>
  <si>
    <t>Standard_D48ls_v5</t>
  </si>
  <si>
    <t>Standard_D64ls_v5</t>
  </si>
  <si>
    <t>Standard_D96ls_v5</t>
  </si>
  <si>
    <t>Dpdsv5 Series</t>
  </si>
  <si>
    <t>Standard_D2pds_v5</t>
  </si>
  <si>
    <t>Standard_D4pds_v5</t>
  </si>
  <si>
    <t>Standard_D8pds_v5</t>
  </si>
  <si>
    <t>Standard_D16pds_v5</t>
  </si>
  <si>
    <t>Standard_D32pds_v5</t>
  </si>
  <si>
    <t>Standard_D48pds_v5</t>
  </si>
  <si>
    <t>Standard_D64pds_v5</t>
  </si>
  <si>
    <t>Dpldsv5 Series</t>
  </si>
  <si>
    <t>Standard_D2plds_v5</t>
  </si>
  <si>
    <t>Standard_D4plds_v5</t>
  </si>
  <si>
    <t>Standard_D8plds_v5</t>
  </si>
  <si>
    <t>Standard_D16plds_v5</t>
  </si>
  <si>
    <t>Standard_D32plds_v5</t>
  </si>
  <si>
    <t>Standard_D48plds_v5</t>
  </si>
  <si>
    <t>Standard_D64plds_v5</t>
  </si>
  <si>
    <t>Dplsv5 Series</t>
  </si>
  <si>
    <t>Standard_D2pls_v5</t>
  </si>
  <si>
    <t>Standard_D4pls_v5</t>
  </si>
  <si>
    <t>Standard_D8pls_v5</t>
  </si>
  <si>
    <t>Standard_D16pls_v5</t>
  </si>
  <si>
    <t>Standard_D32pls_v5</t>
  </si>
  <si>
    <t>Standard_D48pls_v5</t>
  </si>
  <si>
    <t>Standard_D64pls_v5</t>
  </si>
  <si>
    <t>Dpsv5 Series</t>
  </si>
  <si>
    <t>Standard_D2ps_v5</t>
  </si>
  <si>
    <t>Standard_D4ps_v5</t>
  </si>
  <si>
    <t>Standard_D8ps_v5</t>
  </si>
  <si>
    <t>Standard_D16ps_v5</t>
  </si>
  <si>
    <t>Standard_D32ps_v5</t>
  </si>
  <si>
    <t>Standard_D48ps_v5</t>
  </si>
  <si>
    <t>Standard_D64ps_v5</t>
  </si>
  <si>
    <t>Dsv5 Series DedicatedHost</t>
  </si>
  <si>
    <t>Dsv5_Type1</t>
  </si>
  <si>
    <t>ECadsv5-series DedicatedHost</t>
  </si>
  <si>
    <t>ECadsv5 Type 1</t>
  </si>
  <si>
    <t>ECadsv5-series Linux</t>
  </si>
  <si>
    <t>Standard_EC2ads_v5</t>
  </si>
  <si>
    <t>Standard_EC4ads_v5</t>
  </si>
  <si>
    <t>Standard_EC8ads_v5</t>
  </si>
  <si>
    <t>Standard_EC16ads_v5</t>
  </si>
  <si>
    <t>Standard_EC20ads_v5</t>
  </si>
  <si>
    <t>Standard_EC32ads_v5</t>
  </si>
  <si>
    <t>Standard_EC48ads_v5</t>
  </si>
  <si>
    <t>Standard_EC64ads_v5</t>
  </si>
  <si>
    <t>Standard_EC96ads_v5</t>
  </si>
  <si>
    <t>Standard_EC96iads_v5</t>
  </si>
  <si>
    <t>ECasv5-series DedicatedHost</t>
  </si>
  <si>
    <t>ECasv5 Type 1</t>
  </si>
  <si>
    <t>ECasv5-series Linux</t>
  </si>
  <si>
    <t>Standard_EC2as_v5</t>
  </si>
  <si>
    <t>Standard_EC4as_v5</t>
  </si>
  <si>
    <t>Standard_EC8as_v5</t>
  </si>
  <si>
    <t>Standard_EC16as_v5</t>
  </si>
  <si>
    <t>Standard_EC20as_v5</t>
  </si>
  <si>
    <t>Standard_EC32as_v5</t>
  </si>
  <si>
    <t>Standard_EC48as_v5</t>
  </si>
  <si>
    <t>Standard_EC64as_v5</t>
  </si>
  <si>
    <t>Standard_EC96as_v5</t>
  </si>
  <si>
    <t>Standard_EC96ias_v5</t>
  </si>
  <si>
    <t>Eadsv5 Series DedicatedHost</t>
  </si>
  <si>
    <t>Eadsv5_Type1</t>
  </si>
  <si>
    <t>Easv5 Series DedicatedHost</t>
  </si>
  <si>
    <t>Easv5_Type1</t>
  </si>
  <si>
    <t>Standard_E112ibds_v5</t>
  </si>
  <si>
    <t>Ebdsv5 Series Dedicated Host</t>
  </si>
  <si>
    <t>Ebdsv5-Type1</t>
  </si>
  <si>
    <t>Standard_E112ibs_v5</t>
  </si>
  <si>
    <t>Ebsv5 Series Dedicated Host</t>
  </si>
  <si>
    <t>Ebsv5-Type1</t>
  </si>
  <si>
    <t>Edsv5 Series DedicatedHost</t>
  </si>
  <si>
    <t>Edsv5_Type1</t>
  </si>
  <si>
    <t>Eiadmsv5-series Linux</t>
  </si>
  <si>
    <t>Standard_E112_iadms_v5</t>
  </si>
  <si>
    <t>Epdsv5 Series</t>
  </si>
  <si>
    <t>Standard_E2pds_v5</t>
  </si>
  <si>
    <t>Standard_E4pds_v5</t>
  </si>
  <si>
    <t>Standard_E8pds_v5</t>
  </si>
  <si>
    <t>Standard_E16pds_v5</t>
  </si>
  <si>
    <t>Standard_E20pds_v5</t>
  </si>
  <si>
    <t>Standard_E32pds_v5</t>
  </si>
  <si>
    <t>Epsv5 Series</t>
  </si>
  <si>
    <t>Standard_E2ps_v5</t>
  </si>
  <si>
    <t>Standard_E4ps_v5</t>
  </si>
  <si>
    <t>Standard_E8ps_v5</t>
  </si>
  <si>
    <t>Standard_E16ps_v5</t>
  </si>
  <si>
    <t>Standard_E20ps_v5</t>
  </si>
  <si>
    <t>Standard_E32ps_v5</t>
  </si>
  <si>
    <t>Esv5 Series DedicatedHost</t>
  </si>
  <si>
    <t>Esv5_Type1</t>
  </si>
  <si>
    <t>FX Series Dedicated Host</t>
  </si>
  <si>
    <t>FXmds Type1</t>
  </si>
  <si>
    <t>G Series</t>
  </si>
  <si>
    <t>Standard_G1</t>
  </si>
  <si>
    <t>Standard_G2</t>
  </si>
  <si>
    <t>Standard_G3</t>
  </si>
  <si>
    <t>GS Series</t>
  </si>
  <si>
    <t>Standard_GS1</t>
  </si>
  <si>
    <t>Standard_GS2</t>
  </si>
  <si>
    <t>Standard_GS3</t>
  </si>
  <si>
    <t>Internal_Gen8_MM_LI Linux</t>
  </si>
  <si>
    <t>Internal_Gen8_LMMM_32ds_LI</t>
  </si>
  <si>
    <t>Internal_Gen8_LMMM_64ds_LI</t>
  </si>
  <si>
    <t>Internal_Gen8_LMMM_128ids_LI</t>
  </si>
  <si>
    <t>Lasv3 Series DedicatedHost</t>
  </si>
  <si>
    <t>Lasv3_Type1</t>
  </si>
  <si>
    <t>Lsv3 Series DedicatedHost</t>
  </si>
  <si>
    <t>Lsv3_Type1</t>
  </si>
  <si>
    <t>Standard_L104is_v3</t>
  </si>
  <si>
    <t>Standard_M416s_8_v2</t>
  </si>
  <si>
    <t>Mdmsv2MedMem _Type1</t>
  </si>
  <si>
    <t>Standard_M832ixs_v2</t>
  </si>
  <si>
    <t>Standard_ND96ams_A100_v4</t>
  </si>
  <si>
    <t>Standard_ND112amsr_A100_v4</t>
  </si>
  <si>
    <t>Standard_ND112asr_A100_v4</t>
  </si>
  <si>
    <t>RHEL for SAP Business Applications</t>
  </si>
  <si>
    <t>Red Hat Enterprise Linux ARM64 1-4 vCPU</t>
  </si>
  <si>
    <t>Red Hat Enterprise Linux ARM64 5plus vCPU</t>
  </si>
  <si>
    <t>Virtual Machines Ensv6special-series Linux</t>
  </si>
  <si>
    <t>Standard_E36ns_v6_Special</t>
  </si>
  <si>
    <t>Standard_E8ns_v6_Special</t>
  </si>
  <si>
    <t>Standard_E16ns_v6_Special</t>
  </si>
  <si>
    <t>Standard_E72ns_v6_Special</t>
  </si>
  <si>
    <t>Virtual Machines HBrsv4-series Linux</t>
  </si>
  <si>
    <t>Standard_HB176rs_v4</t>
  </si>
  <si>
    <t>Standard_HB176-144rs_v4</t>
  </si>
  <si>
    <t>Standard_HB176-96rs_v4</t>
  </si>
  <si>
    <t>Standard_HB176-24rs_v4</t>
  </si>
  <si>
    <t>Standard_HB176-48rs_v4</t>
  </si>
  <si>
    <t>Virtual Machines HXrs Linux</t>
  </si>
  <si>
    <t>Standard_HX176-96rs</t>
  </si>
  <si>
    <t>Standard_HX176-24rs</t>
  </si>
  <si>
    <t>Standard_HX176-48rs</t>
  </si>
  <si>
    <t>Standard_HX176-144rs</t>
  </si>
  <si>
    <t>Standard_HX176rs</t>
  </si>
  <si>
    <t>Virtual Machines Mbdsv3 Medium Memory Series Linux</t>
  </si>
  <si>
    <t>Standard_M176bds_3_v3</t>
  </si>
  <si>
    <t>Virtual Machines Mbsv3 Medium Memory Series Linux</t>
  </si>
  <si>
    <t>Standard_M176bs_3_v3</t>
  </si>
  <si>
    <t>Virtual Machines Mdsv3 Medium Memory Series Linux</t>
  </si>
  <si>
    <t>Standard_M12ds_v3</t>
  </si>
  <si>
    <t>Standard_M24ds_v3</t>
  </si>
  <si>
    <t>Standard_M48ds_1_v3</t>
  </si>
  <si>
    <t>Standard_M96ds_2_v3</t>
  </si>
  <si>
    <t>Standard_M96ds_1_v3</t>
  </si>
  <si>
    <t>Standard_M176ds_3_v3</t>
  </si>
  <si>
    <t>Standard_M176ds_4_v3</t>
  </si>
  <si>
    <t>Standard_M176ds_2_v3</t>
  </si>
  <si>
    <t>Virtual Machines Msv3 Medium Memory Series Linux</t>
  </si>
  <si>
    <t>Standard_M12s_v3</t>
  </si>
  <si>
    <t>Standard_M24s_v3</t>
  </si>
  <si>
    <t>Standard_M48s_1_v3</t>
  </si>
  <si>
    <t>Standard_M96s_2_v3</t>
  </si>
  <si>
    <t>Standard_M96s_1_v3</t>
  </si>
  <si>
    <t>Standard_M176s_4_v3</t>
  </si>
  <si>
    <t>Standard_M176s_2_v3</t>
  </si>
  <si>
    <t>Standard_M176s_3_v3</t>
  </si>
  <si>
    <t>Virtual Machines NCadsH100_v5-series Linux</t>
  </si>
  <si>
    <t>Standard_NC40ads_H100_v5</t>
  </si>
  <si>
    <t>Standard_NC80adis_H100_v5</t>
  </si>
  <si>
    <t>Virtual Machines NDamsf A100 v4-Series Linux</t>
  </si>
  <si>
    <t>Standard_ND96ams_A100_flex_v4</t>
  </si>
  <si>
    <t>Virtual Machines NDamsrf A100 v4-Series Linux</t>
  </si>
  <si>
    <t>Standard_ND96amsf_A100_v4</t>
  </si>
  <si>
    <t>Standard_ND96amsrf_A100_v4</t>
  </si>
  <si>
    <t>Virtual Machines NDs H100 v5 Series Linux</t>
  </si>
  <si>
    <t>Standard_ND96is_noIB_H100_v5</t>
  </si>
  <si>
    <t>Virtual Machines NDsf H100 v5 Series Linux</t>
  </si>
  <si>
    <t>Standard_ND96is_flex_H100_v5</t>
  </si>
  <si>
    <t>Virtual Machines NDsr H100 v5-Series Linux</t>
  </si>
  <si>
    <t>Standard_ND96is_H100_v5</t>
  </si>
  <si>
    <t>Standard_ND96isr_H100_v5</t>
  </si>
  <si>
    <t>Virtual Machines NGads_V620_v1  Linux</t>
  </si>
  <si>
    <t>Standard_NG8ads_V620_v1</t>
  </si>
  <si>
    <t>Standard_NG16ads_V620_v1</t>
  </si>
  <si>
    <t>Standard_NG32adms_V620</t>
  </si>
  <si>
    <t>Standard_NG32ads_V620_v1</t>
  </si>
  <si>
    <t>Virtual Machines Ndsrf H100 V5-Series Linux</t>
  </si>
  <si>
    <t>Standard_ND96isf_H100_v5</t>
  </si>
  <si>
    <t>Standard_ND96isrf_H100_v5</t>
  </si>
  <si>
    <t>Currency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</si>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</sst>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FA7D00"/>
      <name val="Calibri"/>
      <family val="2"/>
      <scheme val="minor"/>
    </font>
    <font>
      <sz val="20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rgb="FF3F3F76"/>
      <name val="Calibri"/>
      <family val="2"/>
      <scheme val="minor"/>
    </font>
    <font>
      <sz val="24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2F2F2"/>
        <bgColor indexed="64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theme="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2" borderId="1" applyNumberFormat="0" applyAlignment="0" applyProtection="0"/>
    <xf numFmtId="0" fontId="9" fillId="4" borderId="1" applyNumberFormat="0" applyAlignment="0" applyProtection="0"/>
  </cellStyleXfs>
  <cellXfs count="29">
    <xf numFmtId="0" fontId="0" fillId="0" borderId="0" xfId="0"/>
    <xf numFmtId="14" fontId="0" fillId="0" borderId="0" xfId="0" applyNumberFormat="1"/>
    <xf numFmtId="3" fontId="3" fillId="2" borderId="1" xfId="2" applyNumberFormat="1"/>
    <xf numFmtId="0" fontId="3" fillId="2" borderId="2" xfId="2" applyBorder="1"/>
    <xf numFmtId="0" fontId="3" fillId="2" borderId="2" xfId="2" applyNumberFormat="1" applyBorder="1"/>
    <xf numFmtId="9" fontId="3" fillId="2" borderId="2" xfId="2" applyNumberFormat="1" applyBorder="1"/>
    <xf numFmtId="3" fontId="3" fillId="2" borderId="2" xfId="2" applyNumberFormat="1" applyBorder="1"/>
    <xf numFmtId="0" fontId="3" fillId="2" borderId="1" xfId="2"/>
    <xf numFmtId="0" fontId="3" fillId="2" borderId="1" xfId="2" applyNumberFormat="1"/>
    <xf numFmtId="9" fontId="3" fillId="2" borderId="1" xfId="2" applyNumberFormat="1"/>
    <xf numFmtId="164" fontId="3" fillId="2" borderId="1" xfId="2" applyNumberFormat="1"/>
    <xf numFmtId="2" fontId="3" fillId="2" borderId="1" xfId="2" applyNumberFormat="1"/>
    <xf numFmtId="9" fontId="0" fillId="0" borderId="0" xfId="1" applyFont="1"/>
    <xf numFmtId="9" fontId="0" fillId="0" borderId="0" xfId="0" applyNumberFormat="1"/>
    <xf numFmtId="0" fontId="4" fillId="0" borderId="0" xfId="0" applyFont="1"/>
    <xf numFmtId="10" fontId="0" fillId="0" borderId="0" xfId="0" applyNumberFormat="1"/>
    <xf numFmtId="14" fontId="6" fillId="0" borderId="0" xfId="0" applyNumberFormat="1" applyFont="1"/>
    <xf numFmtId="0" fontId="6" fillId="0" borderId="0" xfId="0" applyFont="1"/>
    <xf numFmtId="3" fontId="7" fillId="3" borderId="2" xfId="0" applyNumberFormat="1" applyFont="1" applyFill="1" applyBorder="1"/>
    <xf numFmtId="0" fontId="5" fillId="0" borderId="0" xfId="0" applyFont="1"/>
    <xf numFmtId="0" fontId="7" fillId="3" borderId="2" xfId="0" applyFont="1" applyFill="1" applyBorder="1"/>
    <xf numFmtId="3" fontId="8" fillId="3" borderId="2" xfId="0" applyNumberFormat="1" applyFont="1" applyFill="1" applyBorder="1"/>
    <xf numFmtId="9" fontId="7" fillId="3" borderId="2" xfId="0" applyNumberFormat="1" applyFont="1" applyFill="1" applyBorder="1"/>
    <xf numFmtId="3" fontId="7" fillId="3" borderId="1" xfId="0" applyNumberFormat="1" applyFont="1" applyFill="1" applyBorder="1"/>
    <xf numFmtId="1" fontId="5" fillId="0" borderId="0" xfId="0" applyNumberFormat="1" applyFont="1"/>
    <xf numFmtId="3" fontId="7" fillId="3" borderId="3" xfId="0" applyNumberFormat="1" applyFont="1" applyFill="1" applyBorder="1"/>
    <xf numFmtId="0" fontId="10" fillId="0" borderId="0" xfId="0" applyFont="1"/>
    <xf numFmtId="9" fontId="11" fillId="4" borderId="1" xfId="3" applyNumberFormat="1" applyFont="1"/>
    <xf numFmtId="0" fontId="12" fillId="0" borderId="0" xfId="0" applyFont="1"/>
  </cellXfs>
  <cellStyles count="4">
    <cellStyle name="Calculation" xfId="2" builtinId="22"/>
    <cellStyle name="Input" xfId="3" builtinId="20"/>
    <cellStyle name="Normal" xfId="0" builtinId="0"/>
    <cellStyle name="Percent" xfId="1" builtinId="5"/>
  </cellStyles>
  <dxfs count="42"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numFmt numFmtId="3" formatCode="#,##0"/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numFmt numFmtId="13" formatCode="0%"/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numFmt numFmtId="3" formatCode="#,##0"/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numFmt numFmtId="3" formatCode="#,##0"/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3" formatCode="#,##0"/>
      <border diagonalUp="0" diagonalDown="0">
        <left style="thin">
          <color rgb="FF7F7F7F"/>
        </left>
        <right style="thin">
          <color rgb="FF7F7F7F"/>
        </right>
        <top style="thin">
          <color rgb="FF7F7F7F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numFmt numFmtId="13" formatCode="0%"/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numFmt numFmtId="3" formatCode="#,##0"/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3" formatCode="#,##0"/>
      <border diagonalUp="0" diagonalDown="0">
        <left style="thin">
          <color rgb="FF7F7F7F"/>
        </left>
        <right style="thin">
          <color rgb="FF7F7F7F"/>
        </right>
        <top style="thin">
          <color rgb="FF7F7F7F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numFmt numFmtId="3" formatCode="#,##0"/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ont>
        <b/>
      </font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numFmt numFmtId="3" formatCode="#,##0"/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ont>
        <b/>
      </font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numFmt numFmtId="3" formatCode="#,##0"/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numFmt numFmtId="3" formatCode="#,##0"/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9" formatCode="yyyy/mm/dd"/>
    </dxf>
    <dxf>
      <numFmt numFmtId="19" formatCode="yyyy/mm/dd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</dxf>
    <dxf>
      <font>
        <b/>
      </font>
    </dxf>
    <dxf>
      <numFmt numFmtId="164" formatCode="0.0"/>
    </dxf>
    <dxf>
      <numFmt numFmtId="13" formatCode="0%"/>
    </dxf>
    <dxf>
      <numFmt numFmtId="2" formatCode="0.00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ommy Sundling" id="{652AB7B1-5FD2-4ACC-96F2-4E0FA2825630}" userId="S::tosundli@microsoft.com::121e09fc-c72a-44f0-8f77-07d1eaeb8f9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6AA9CC-4DD8-42F0-B9D0-1E4037A10E1B}" name="RI_AssessmentTable" displayName="RI_AssessmentTable" ref="A5:U26" totalsRowCount="1" headerRowDxfId="37" totalsRowDxfId="36">
  <autoFilter ref="A5:U25" xr:uid="{450BF724-EB2E-455E-A5E7-D0931E1C2819}"/>
  <sortState xmlns:xlrd2="http://schemas.microsoft.com/office/spreadsheetml/2017/richdata2" ref="A6:U25">
    <sortCondition ref="G5:G25"/>
  </sortState>
  <tableColumns count="21">
    <tableColumn id="15" xr3:uid="{171611B7-51CF-4EE7-86FC-046144BEDCFC}" name="Date" dataDxfId="35" totalsRowDxfId="34"/>
    <tableColumn id="1" xr3:uid="{3B7B3416-356C-45E2-903B-258A4D7F7148}" name="RI Series" totalsRowDxfId="33"/>
    <tableColumn id="2" xr3:uid="{206EAD59-60ED-4E7F-BFBF-6BEE524E082F}" name="Region" totalsRowDxfId="32"/>
    <tableColumn id="3" xr3:uid="{031866EB-4097-4C29-922F-FF5D671C89DD}" name="Potential Ratio" totalsRowFunction="sum" totalsRowDxfId="31"/>
    <tableColumn id="18" xr3:uid="{1B51DB6C-43A4-4909-8E13-BABE869C76A6}" name="Already purchased Ratio" totalsRowFunction="sum" totalsRowDxfId="30"/>
    <tableColumn id="21" xr3:uid="{113616A0-CDB5-4A36-8881-AE01006299AE}" name="Potential Ratio to purchase" dataDxfId="29" totalsRowDxfId="28" dataCellStyle="Calculation">
      <calculatedColumnFormula>RI_AssessmentTable[[#This Row],[Potential Ratio]]-RI_AssessmentTable[[#This Row],[Already purchased Ratio]]</calculatedColumnFormula>
    </tableColumn>
    <tableColumn id="8" xr3:uid="{A75281DD-45D7-4DD3-899D-8EF3C4B2F899}" name="Reserved Instance Sku" totalsRowDxfId="27"/>
    <tableColumn id="24" xr3:uid="{CBE968B8-1637-4DC5-9364-07D78BA103CE}" name="Potential Amount" dataDxfId="26" totalsRowDxfId="25" dataCellStyle="Calculation">
      <calculatedColumnFormula>FLOOR(RI_AssessmentTable[[#This Row],[Potential Ratio to purchase]]/RI_AssessmentTable[[#This Row],[Ratio / RI]],1)</calculatedColumnFormula>
    </tableColumn>
    <tableColumn id="11" xr3:uid="{C4EB23FE-7DDC-4E18-9CCC-E00930515F43}" name="Potential Cost (1y)" totalsRowFunction="sum" dataDxfId="24" totalsRowDxfId="23" dataCellStyle="Calculation">
      <calculatedColumnFormula>VLOOKUP(RI_AssessmentTable[[#This Row],[Reserved Instance Sku]],RITable[[ArmSkuName]:[Price (1y)]],3,FALSE) * RI_AssessmentTable[[#This Row],[Potential Amount]]</calculatedColumnFormula>
    </tableColumn>
    <tableColumn id="7" xr3:uid="{CFADF450-4D54-46CC-84A1-FDAE33A27F1E}" name="Potential Cost (3y)" totalsRowFunction="sum" dataDxfId="22" totalsRowDxfId="21" dataCellStyle="Calculation">
      <calculatedColumnFormula>VLOOKUP(RI_AssessmentTable[[#This Row],[Reserved Instance Sku]],RITable[[ArmSkuName]:[Price (3y)]],6,FALSE) * RI_AssessmentTable[[#This Row],[Potential Amount]] / 3</calculatedColumnFormula>
    </tableColumn>
    <tableColumn id="16" xr3:uid="{DF0AEA1C-DF20-43D1-9C91-D9C14CA21453}" name="Amount (1y)" dataDxfId="20" totalsRowDxfId="19" dataCellStyle="Calculation"/>
    <tableColumn id="4" xr3:uid="{D2AEED7C-EC97-47DA-B2C5-D780CB5E7191}" name="Amount (3y)" dataDxfId="18" totalsRowDxfId="17" dataCellStyle="Calculation"/>
    <tableColumn id="6" xr3:uid="{CB59987F-C518-4CB1-871B-A86FFC9B867C}" name="Ratio Purchased" dataDxfId="16" totalsRowDxfId="15" dataCellStyle="Calculation">
      <calculatedColumnFormula>(RI_AssessmentTable[[#This Row],[Amount (1y)]]+RI_AssessmentTable[[#This Row],[Amount (3y)]] )*RI_AssessmentTable[[#This Row],[Ratio / RI]]</calculatedColumnFormula>
    </tableColumn>
    <tableColumn id="13" xr3:uid="{0B0C5B1C-80E7-4B3B-A3B1-2933D0ABD26C}" name="Ratio / RI" totalsRowDxfId="14" dataCellStyle="Calculation">
      <calculatedColumnFormula>VLOOKUP(RI_AssessmentTable[[#This Row],[Reserved Instance Sku]],RITable[[ArmSkuName]:[Ratio]],2,FALSE)</calculatedColumnFormula>
    </tableColumn>
    <tableColumn id="10" xr3:uid="{848133FF-C916-4840-8A69-7F51F32DC0DE}" name="Current Ratio Total" dataDxfId="13" totalsRowDxfId="12" dataCellStyle="Calculation">
      <calculatedColumnFormula>(VLOOKUP(RI_AssessmentTable[[#This Row],[Reserved Instance Sku]],RITable[[ArmSkuName]:[Ratio]],2,FALSE)) *RI_AssessmentTable[[#This Row],[Ratio Purchased]] + RI_AssessmentTable[[#This Row],[Already purchased Ratio]]</calculatedColumnFormula>
    </tableColumn>
    <tableColumn id="22" xr3:uid="{5F666A44-56FE-430B-A62E-5E95DD36FCE8}" name="Expected Savings (1y)" totalsRowFunction="sum" dataDxfId="11" totalsRowDxfId="10" dataCellStyle="Calculation">
      <calculatedColumnFormula>RI_AssessmentTable[[#This Row],[Potential Cost (1y)]]/(1-RI_AssessmentTable[[#This Row],[Expected Savings % (1y)]])</calculatedColumnFormula>
    </tableColumn>
    <tableColumn id="5" xr3:uid="{5B74B1A5-8B1F-4E30-88EC-04DD48BB07D3}" name="Expected Savings % (1y)" totalsRowFunction="custom" dataDxfId="9" totalsRowDxfId="8" dataCellStyle="Calculation">
      <calculatedColumnFormula>VLOOKUP(RI_AssessmentTable[[#This Row],[Reserved Instance Sku]],RITable[[ArmSkuName]:[Price/Ratio (1y)]],4,FALSE)</calculatedColumnFormula>
      <totalsRowFormula>RI_AssessmentTable[[#Totals],[Expected Net Savings (1y)]]/RI_AssessmentTable[[#Totals],[Expected Savings (1y)]]</totalsRowFormula>
    </tableColumn>
    <tableColumn id="12" xr3:uid="{15741B6B-B466-4B9F-9301-1840CBA642D3}" name="Expected Net Savings (1y)" totalsRowFunction="sum" dataDxfId="7" totalsRowDxfId="6" dataCellStyle="Calculation">
      <calculatedColumnFormula>RI_AssessmentTable[[#This Row],[Expected Savings (1y)]]-RI_AssessmentTable[[#This Row],[Potential Cost (1y)]]</calculatedColumnFormula>
    </tableColumn>
    <tableColumn id="23" xr3:uid="{8B489604-C576-4E5F-8696-82DFC2813EBD}" name="Expected Savings (3y)" totalsRowFunction="sum" dataDxfId="5" totalsRowDxfId="4" dataCellStyle="Calculation">
      <calculatedColumnFormula>RI_AssessmentTable[[#This Row],[Potential Cost (3y)]]/(1-RI_AssessmentTable[[#This Row],[Expected Savings % (3y)]])</calculatedColumnFormula>
    </tableColumn>
    <tableColumn id="17" xr3:uid="{D1CC39C1-3484-4B60-9EA8-10581BCC5577}" name="Expected Savings % (3y)" totalsRowFunction="custom" dataDxfId="3" totalsRowDxfId="2" dataCellStyle="Calculation">
      <calculatedColumnFormula>VLOOKUP(RI_AssessmentTable[[#This Row],[Reserved Instance Sku]],RITable[[ArmSkuName]:[Price/Ratio (3y)]],7,FALSE)</calculatedColumnFormula>
      <totalsRowFormula>RI_AssessmentTable[[#Totals],[Expected Net Savings (3y)]]/RI_AssessmentTable[[#Totals],[Expected Savings (3y)]]</totalsRowFormula>
    </tableColumn>
    <tableColumn id="14" xr3:uid="{D5D52B50-C840-4D1D-B5CE-CDA57A91AB83}" name="Expected Net Savings (3y)" totalsRowFunction="sum" dataDxfId="1" totalsRowDxfId="0" dataCellStyle="Calculation">
      <calculatedColumnFormula>RI_AssessmentTable[[#This Row],[Expected Savings (3y)]]-RI_AssessmentTable[[#This Row],[Potential Cost (3y)]]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120CD6-73E5-4621-97B5-6A531CA28882}" name="RITable" displayName="RITable" ref="A1:I996" totalsRowShown="0">
  <autoFilter ref="A1:I996" xr:uid="{4A7DEAE2-7C02-40EB-8E97-D232C22BAD90}"/>
  <tableColumns count="9">
    <tableColumn id="1" xr3:uid="{B71C2CD0-147D-49E6-AF00-77FB5950C695}" name="InstanceSizeFlexibilityGroup"/>
    <tableColumn id="2" xr3:uid="{C84F683C-C1FF-4065-95A1-DEC9E2FFD194}" name="ArmSkuName"/>
    <tableColumn id="3" xr3:uid="{29BA211E-FE6F-4B96-A6FA-C58C1D314C05}" name="Ratio"/>
    <tableColumn id="4" xr3:uid="{1E927136-DE71-4F7F-8220-707CE7FE91AD}" name="Price (1y)"/>
    <tableColumn id="6" xr3:uid="{D969327C-1BF8-4DED-96DD-5E1E1567CA60}" name="Savings (1y)" dataDxfId="41" dataCellStyle="Percent"/>
    <tableColumn id="8" xr3:uid="{890ABA02-3F12-4078-9E6E-B28BC405FAFE}" name="Price/Ratio (1y)" dataDxfId="40" dataCellStyle="Calculation">
      <calculatedColumnFormula>RITable[[#This Row],[Price (1y)]]/RITable[[#This Row],[Ratio]]</calculatedColumnFormula>
    </tableColumn>
    <tableColumn id="5" xr3:uid="{F77C5254-A825-40F2-876A-ECCE0D9E6F19}" name="Price (3y)"/>
    <tableColumn id="7" xr3:uid="{B1C38877-32B7-45B2-802F-099DF3097765}" name="Savings (3y)" dataDxfId="39" dataCellStyle="Percent"/>
    <tableColumn id="9" xr3:uid="{FEBB64C7-0670-4F57-BC0D-D381559BC972}" name="Price/Ratio (3y)" dataDxfId="38" dataCellStyle="Calculation">
      <calculatedColumnFormula>RITable[[#This Row],[Price (3y)]]/RITable[[#This Row],[Ratio]] / 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3-02-02T08:59:20.98" personId="{652AB7B1-5FD2-4ACC-96F2-4E0FA2825630}" id="{8C79A29B-8130-43E3-8636-5DE5E0F352F8}">
    <text>Enter reasonable percentage</text>
  </threadedComment>
  <threadedComment ref="J5" dT="2023-02-02T08:49:19.98" personId="{652AB7B1-5FD2-4ACC-96F2-4E0FA2825630}" id="{F0E48A1C-0721-4734-B413-8DEF8B16D7FA}">
    <text>Showing cost per year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E8CC8-D861-4EF0-90B6-5F37C8B22358}">
  <dimension ref="A1:U72"/>
  <sheetViews>
    <sheetView tabSelected="1" zoomScaleNormal="100" workbookViewId="0">
      <pane ySplit="5" topLeftCell="A6" activePane="bottomLeft" state="frozen"/>
      <selection activeCell="G1" sqref="G1"/>
      <selection pane="bottomLeft" activeCell="I31" sqref="I31"/>
    </sheetView>
  </sheetViews>
  <sheetFormatPr defaultRowHeight="14.4" x14ac:dyDescent="0.3"/>
  <cols>
    <col min="1" max="1" width="11.6640625" customWidth="1"/>
    <col min="2" max="2" width="22.33203125" customWidth="1"/>
    <col min="3" max="3" width="14.77734375" customWidth="1"/>
    <col min="4" max="4" width="22.77734375" customWidth="1"/>
    <col min="5" max="5" width="23.6640625" bestFit="1" customWidth="1"/>
    <col min="6" max="6" width="26.21875" customWidth="1"/>
    <col min="7" max="7" width="22.21875" customWidth="1"/>
    <col min="8" max="8" width="18.21875" bestFit="1" customWidth="1"/>
    <col min="9" max="9" width="22.109375" bestFit="1" customWidth="1"/>
    <col min="10" max="12" width="18.77734375" customWidth="1"/>
    <col min="13" max="13" width="16" customWidth="1"/>
    <col min="14" max="14" width="11" customWidth="1"/>
    <col min="15" max="15" width="21.6640625" customWidth="1"/>
    <col min="16" max="16" width="20.6640625" customWidth="1"/>
    <col min="17" max="18" width="21.5546875" customWidth="1"/>
    <col min="19" max="20" width="23.77734375" customWidth="1"/>
    <col min="21" max="21" width="26.21875" customWidth="1"/>
    <col min="23" max="23" width="9.21875" customWidth="1"/>
  </cols>
  <sheetData>
    <row r="1" spans="1:21" ht="31.2" x14ac:dyDescent="0.6">
      <c r="A1" s="28" t="s">
        <v>32</v>
      </c>
    </row>
    <row r="3" spans="1:21" ht="21" x14ac:dyDescent="0.4">
      <c r="A3" s="26" t="s">
        <v>27</v>
      </c>
      <c r="C3" s="27">
        <v>0.3</v>
      </c>
      <c r="E3" s="26" t="s">
        <v>1238</v>
      </c>
      <c r="F3" s="27" t="s">
        <v>1239</v>
      </c>
    </row>
    <row r="5" spans="1:21" s="19" customFormat="1" x14ac:dyDescent="0.3">
      <c r="A5" s="19" t="s">
        <v>11</v>
      </c>
      <c r="B5" s="19" t="s">
        <v>0</v>
      </c>
      <c r="C5" s="19" t="s">
        <v>1</v>
      </c>
      <c r="D5" s="19" t="s">
        <v>18</v>
      </c>
      <c r="E5" s="19" t="s">
        <v>17</v>
      </c>
      <c r="F5" s="19" t="s">
        <v>19</v>
      </c>
      <c r="G5" s="19" t="s">
        <v>16</v>
      </c>
      <c r="H5" s="19" t="s">
        <v>20</v>
      </c>
      <c r="I5" s="19" t="s">
        <v>21</v>
      </c>
      <c r="J5" s="19" t="s">
        <v>22</v>
      </c>
      <c r="K5" s="19" t="s">
        <v>29</v>
      </c>
      <c r="L5" s="19" t="s">
        <v>30</v>
      </c>
      <c r="M5" s="19" t="s">
        <v>12</v>
      </c>
      <c r="N5" s="19" t="s">
        <v>10</v>
      </c>
      <c r="O5" s="19" t="s">
        <v>31</v>
      </c>
      <c r="P5" s="19" t="s">
        <v>23</v>
      </c>
      <c r="Q5" s="19" t="s">
        <v>9</v>
      </c>
      <c r="R5" s="19" t="s">
        <v>25</v>
      </c>
      <c r="S5" s="19" t="s">
        <v>24</v>
      </c>
      <c r="T5" s="19" t="s">
        <v>15</v>
      </c>
      <c r="U5" s="19" t="s">
        <v>26</v>
      </c>
    </row>
    <row r="6" spans="1:21" x14ac:dyDescent="0.3">
      <c r="A6" s="1"/>
      <c r="F6" s="7">
        <f>RI_AssessmentTable[[#This Row],[Potential Ratio]]-RI_AssessmentTable[[#This Row],[Already purchased Ratio]]</f>
        <v>0</v>
      </c>
      <c r="H6" s="7" t="e">
        <f>FLOOR(RI_AssessmentTable[[#This Row],[Potential Ratio to purchase]]/RI_AssessmentTable[[#This Row],[Ratio / RI]],1)</f>
        <v>#N/A</v>
      </c>
      <c r="I6" s="2" t="e">
        <f>VLOOKUP(RI_AssessmentTable[[#This Row],[Reserved Instance Sku]],RITable[[ArmSkuName]:[Price (1y)]],3,FALSE) * RI_AssessmentTable[[#This Row],[Potential Amount]]</f>
        <v>#N/A</v>
      </c>
      <c r="J6" s="2" t="e">
        <f>VLOOKUP(RI_AssessmentTable[[#This Row],[Reserved Instance Sku]],RITable[[ArmSkuName]:[Price (3y)]],6,FALSE) * RI_AssessmentTable[[#This Row],[Potential Amount]] / 3</f>
        <v>#N/A</v>
      </c>
      <c r="K6" s="24"/>
      <c r="L6" s="24"/>
      <c r="M6" s="7" t="e">
        <f>(RI_AssessmentTable[[#This Row],[Amount (1y)]]+RI_AssessmentTable[[#This Row],[Amount (3y)]] )*RI_AssessmentTable[[#This Row],[Ratio / RI]]</f>
        <v>#N/A</v>
      </c>
      <c r="N6" s="7" t="e">
        <f>VLOOKUP(RI_AssessmentTable[[#This Row],[Reserved Instance Sku]],RITable[[ArmSkuName]:[Ratio]],2,FALSE)</f>
        <v>#N/A</v>
      </c>
      <c r="O6" s="8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6" s="2" t="e">
        <f>RI_AssessmentTable[[#This Row],[Potential Cost (1y)]]/(1-RI_AssessmentTable[[#This Row],[Expected Savings % (1y)]])</f>
        <v>#N/A</v>
      </c>
      <c r="Q6" s="9" t="e">
        <f>VLOOKUP(RI_AssessmentTable[[#This Row],[Reserved Instance Sku]],RITable[[ArmSkuName]:[Price/Ratio (1y)]],4,FALSE)</f>
        <v>#N/A</v>
      </c>
      <c r="R6" s="2" t="e">
        <f>RI_AssessmentTable[[#This Row],[Expected Savings (1y)]]-RI_AssessmentTable[[#This Row],[Potential Cost (1y)]]</f>
        <v>#N/A</v>
      </c>
      <c r="S6" s="2" t="e">
        <f>RI_AssessmentTable[[#This Row],[Potential Cost (3y)]]/(1-RI_AssessmentTable[[#This Row],[Expected Savings % (3y)]])</f>
        <v>#N/A</v>
      </c>
      <c r="T6" s="9" t="e">
        <f>VLOOKUP(RI_AssessmentTable[[#This Row],[Reserved Instance Sku]],RITable[[ArmSkuName]:[Price/Ratio (3y)]],7,FALSE)</f>
        <v>#N/A</v>
      </c>
      <c r="U6" s="2" t="e">
        <f>RI_AssessmentTable[[#This Row],[Expected Savings (3y)]]-RI_AssessmentTable[[#This Row],[Potential Cost (3y)]]</f>
        <v>#N/A</v>
      </c>
    </row>
    <row r="7" spans="1:21" x14ac:dyDescent="0.3">
      <c r="A7" s="1"/>
      <c r="F7" s="7">
        <f>RI_AssessmentTable[[#This Row],[Potential Ratio]]-RI_AssessmentTable[[#This Row],[Already purchased Ratio]]</f>
        <v>0</v>
      </c>
      <c r="H7" s="7" t="e">
        <f>FLOOR(RI_AssessmentTable[[#This Row],[Potential Ratio to purchase]]/RI_AssessmentTable[[#This Row],[Ratio / RI]],1)</f>
        <v>#N/A</v>
      </c>
      <c r="I7" s="2" t="e">
        <f>VLOOKUP(RI_AssessmentTable[[#This Row],[Reserved Instance Sku]],RITable[[ArmSkuName]:[Price (1y)]],3,FALSE) * RI_AssessmentTable[[#This Row],[Potential Amount]]</f>
        <v>#N/A</v>
      </c>
      <c r="J7" s="2" t="e">
        <f>VLOOKUP(RI_AssessmentTable[[#This Row],[Reserved Instance Sku]],RITable[[ArmSkuName]:[Price (3y)]],6,FALSE) * RI_AssessmentTable[[#This Row],[Potential Amount]] / 3</f>
        <v>#N/A</v>
      </c>
      <c r="K7" s="24"/>
      <c r="L7" s="24"/>
      <c r="M7" s="3" t="e">
        <f>(RI_AssessmentTable[[#This Row],[Amount (1y)]]+RI_AssessmentTable[[#This Row],[Amount (3y)]] )*RI_AssessmentTable[[#This Row],[Ratio / RI]]</f>
        <v>#N/A</v>
      </c>
      <c r="N7" s="3" t="e">
        <f>VLOOKUP(RI_AssessmentTable[[#This Row],[Reserved Instance Sku]],RITable[[ArmSkuName]:[Ratio]],2,FALSE)</f>
        <v>#N/A</v>
      </c>
      <c r="O7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7" s="6" t="e">
        <f>RI_AssessmentTable[[#This Row],[Potential Cost (1y)]]/(1-RI_AssessmentTable[[#This Row],[Expected Savings % (1y)]])</f>
        <v>#N/A</v>
      </c>
      <c r="Q7" s="5" t="e">
        <f>VLOOKUP(RI_AssessmentTable[[#This Row],[Reserved Instance Sku]],RITable[[ArmSkuName]:[Price/Ratio (1y)]],4,FALSE)</f>
        <v>#N/A</v>
      </c>
      <c r="R7" s="6" t="e">
        <f>RI_AssessmentTable[[#This Row],[Expected Savings (1y)]]-RI_AssessmentTable[[#This Row],[Potential Cost (1y)]]</f>
        <v>#N/A</v>
      </c>
      <c r="S7" s="2" t="e">
        <f>RI_AssessmentTable[[#This Row],[Potential Cost (3y)]]/(1-RI_AssessmentTable[[#This Row],[Expected Savings % (3y)]])</f>
        <v>#N/A</v>
      </c>
      <c r="T7" s="9" t="e">
        <f>VLOOKUP(RI_AssessmentTable[[#This Row],[Reserved Instance Sku]],RITable[[ArmSkuName]:[Price/Ratio (3y)]],7,FALSE)</f>
        <v>#N/A</v>
      </c>
      <c r="U7" s="2" t="e">
        <f>RI_AssessmentTable[[#This Row],[Expected Savings (3y)]]-RI_AssessmentTable[[#This Row],[Potential Cost (3y)]]</f>
        <v>#N/A</v>
      </c>
    </row>
    <row r="8" spans="1:21" x14ac:dyDescent="0.3">
      <c r="A8" s="1"/>
      <c r="F8" s="7">
        <f>RI_AssessmentTable[[#This Row],[Potential Ratio]]-RI_AssessmentTable[[#This Row],[Already purchased Ratio]]</f>
        <v>0</v>
      </c>
      <c r="H8" s="7" t="e">
        <f>FLOOR(RI_AssessmentTable[[#This Row],[Potential Ratio to purchase]]/RI_AssessmentTable[[#This Row],[Ratio / RI]],1)</f>
        <v>#N/A</v>
      </c>
      <c r="I8" s="2" t="e">
        <f>VLOOKUP(RI_AssessmentTable[[#This Row],[Reserved Instance Sku]],RITable[[ArmSkuName]:[Price (1y)]],3,FALSE) * RI_AssessmentTable[[#This Row],[Potential Amount]]</f>
        <v>#N/A</v>
      </c>
      <c r="J8" s="2" t="e">
        <f>VLOOKUP(RI_AssessmentTable[[#This Row],[Reserved Instance Sku]],RITable[[ArmSkuName]:[Price (3y)]],6,FALSE) * RI_AssessmentTable[[#This Row],[Potential Amount]] / 3</f>
        <v>#N/A</v>
      </c>
      <c r="K8" s="24"/>
      <c r="L8" s="24"/>
      <c r="M8" s="3" t="e">
        <f>(RI_AssessmentTable[[#This Row],[Amount (1y)]]+RI_AssessmentTable[[#This Row],[Amount (3y)]] )*RI_AssessmentTable[[#This Row],[Ratio / RI]]</f>
        <v>#N/A</v>
      </c>
      <c r="N8" s="3" t="e">
        <f>VLOOKUP(RI_AssessmentTable[[#This Row],[Reserved Instance Sku]],RITable[[ArmSkuName]:[Ratio]],2,FALSE)</f>
        <v>#N/A</v>
      </c>
      <c r="O8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8" s="6" t="e">
        <f>RI_AssessmentTable[[#This Row],[Potential Cost (1y)]]/(1-RI_AssessmentTable[[#This Row],[Expected Savings % (1y)]])</f>
        <v>#N/A</v>
      </c>
      <c r="Q8" s="5" t="e">
        <f>VLOOKUP(RI_AssessmentTable[[#This Row],[Reserved Instance Sku]],RITable[[ArmSkuName]:[Price/Ratio (1y)]],4,FALSE)</f>
        <v>#N/A</v>
      </c>
      <c r="R8" s="6" t="e">
        <f>RI_AssessmentTable[[#This Row],[Expected Savings (1y)]]-RI_AssessmentTable[[#This Row],[Potential Cost (1y)]]</f>
        <v>#N/A</v>
      </c>
      <c r="S8" s="2" t="e">
        <f>RI_AssessmentTable[[#This Row],[Potential Cost (3y)]]/(1-RI_AssessmentTable[[#This Row],[Expected Savings % (3y)]])</f>
        <v>#N/A</v>
      </c>
      <c r="T8" s="9" t="e">
        <f>VLOOKUP(RI_AssessmentTable[[#This Row],[Reserved Instance Sku]],RITable[[ArmSkuName]:[Price/Ratio (3y)]],7,FALSE)</f>
        <v>#N/A</v>
      </c>
      <c r="U8" s="2" t="e">
        <f>RI_AssessmentTable[[#This Row],[Expected Savings (3y)]]-RI_AssessmentTable[[#This Row],[Potential Cost (3y)]]</f>
        <v>#N/A</v>
      </c>
    </row>
    <row r="9" spans="1:21" x14ac:dyDescent="0.3">
      <c r="A9" s="1"/>
      <c r="F9" s="7">
        <f>RI_AssessmentTable[[#This Row],[Potential Ratio]]-RI_AssessmentTable[[#This Row],[Already purchased Ratio]]</f>
        <v>0</v>
      </c>
      <c r="H9" s="7" t="e">
        <f>FLOOR(RI_AssessmentTable[[#This Row],[Potential Ratio to purchase]]/RI_AssessmentTable[[#This Row],[Ratio / RI]],1)</f>
        <v>#N/A</v>
      </c>
      <c r="I9" s="2" t="e">
        <f>VLOOKUP(RI_AssessmentTable[[#This Row],[Reserved Instance Sku]],RITable[[ArmSkuName]:[Price (1y)]],3,FALSE) * RI_AssessmentTable[[#This Row],[Potential Amount]]</f>
        <v>#N/A</v>
      </c>
      <c r="J9" s="2" t="e">
        <f>VLOOKUP(RI_AssessmentTable[[#This Row],[Reserved Instance Sku]],RITable[[ArmSkuName]:[Price (3y)]],6,FALSE) * RI_AssessmentTable[[#This Row],[Potential Amount]] / 3</f>
        <v>#N/A</v>
      </c>
      <c r="K9" s="24"/>
      <c r="L9" s="24"/>
      <c r="M9" s="3" t="e">
        <f>(RI_AssessmentTable[[#This Row],[Amount (1y)]]+RI_AssessmentTable[[#This Row],[Amount (3y)]] )*RI_AssessmentTable[[#This Row],[Ratio / RI]]</f>
        <v>#N/A</v>
      </c>
      <c r="N9" s="3" t="e">
        <f>VLOOKUP(RI_AssessmentTable[[#This Row],[Reserved Instance Sku]],RITable[[ArmSkuName]:[Ratio]],2,FALSE)</f>
        <v>#N/A</v>
      </c>
      <c r="O9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9" s="6" t="e">
        <f>RI_AssessmentTable[[#This Row],[Potential Cost (1y)]]/(1-RI_AssessmentTable[[#This Row],[Expected Savings % (1y)]])</f>
        <v>#N/A</v>
      </c>
      <c r="Q9" s="5" t="e">
        <f>VLOOKUP(RI_AssessmentTable[[#This Row],[Reserved Instance Sku]],RITable[[ArmSkuName]:[Price/Ratio (1y)]],4,FALSE)</f>
        <v>#N/A</v>
      </c>
      <c r="R9" s="6" t="e">
        <f>RI_AssessmentTable[[#This Row],[Expected Savings (1y)]]-RI_AssessmentTable[[#This Row],[Potential Cost (1y)]]</f>
        <v>#N/A</v>
      </c>
      <c r="S9" s="2" t="e">
        <f>RI_AssessmentTable[[#This Row],[Potential Cost (3y)]]/(1-RI_AssessmentTable[[#This Row],[Expected Savings % (3y)]])</f>
        <v>#N/A</v>
      </c>
      <c r="T9" s="9" t="e">
        <f>VLOOKUP(RI_AssessmentTable[[#This Row],[Reserved Instance Sku]],RITable[[ArmSkuName]:[Price/Ratio (3y)]],7,FALSE)</f>
        <v>#N/A</v>
      </c>
      <c r="U9" s="2" t="e">
        <f>RI_AssessmentTable[[#This Row],[Expected Savings (3y)]]-RI_AssessmentTable[[#This Row],[Potential Cost (3y)]]</f>
        <v>#N/A</v>
      </c>
    </row>
    <row r="10" spans="1:21" x14ac:dyDescent="0.3">
      <c r="A10" s="1"/>
      <c r="F10" s="7">
        <f>RI_AssessmentTable[[#This Row],[Potential Ratio]]-RI_AssessmentTable[[#This Row],[Already purchased Ratio]]</f>
        <v>0</v>
      </c>
      <c r="H10" s="7" t="e">
        <f>FLOOR(RI_AssessmentTable[[#This Row],[Potential Ratio to purchase]]/RI_AssessmentTable[[#This Row],[Ratio / RI]],1)</f>
        <v>#N/A</v>
      </c>
      <c r="I10" s="2" t="e">
        <f>VLOOKUP(RI_AssessmentTable[[#This Row],[Reserved Instance Sku]],RITable[[ArmSkuName]:[Price (1y)]],3,FALSE) * RI_AssessmentTable[[#This Row],[Potential Amount]]</f>
        <v>#N/A</v>
      </c>
      <c r="J10" s="2" t="e">
        <f>VLOOKUP(RI_AssessmentTable[[#This Row],[Reserved Instance Sku]],RITable[[ArmSkuName]:[Price (3y)]],6,FALSE) * RI_AssessmentTable[[#This Row],[Potential Amount]] / 3</f>
        <v>#N/A</v>
      </c>
      <c r="K10" s="24"/>
      <c r="L10" s="24"/>
      <c r="M10" s="3" t="e">
        <f>(RI_AssessmentTable[[#This Row],[Amount (1y)]]+RI_AssessmentTable[[#This Row],[Amount (3y)]] )*RI_AssessmentTable[[#This Row],[Ratio / RI]]</f>
        <v>#N/A</v>
      </c>
      <c r="N10" s="3" t="e">
        <f>VLOOKUP(RI_AssessmentTable[[#This Row],[Reserved Instance Sku]],RITable[[ArmSkuName]:[Ratio]],2,FALSE)</f>
        <v>#N/A</v>
      </c>
      <c r="O10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10" s="6" t="e">
        <f>RI_AssessmentTable[[#This Row],[Potential Cost (1y)]]/(1-RI_AssessmentTable[[#This Row],[Expected Savings % (1y)]])</f>
        <v>#N/A</v>
      </c>
      <c r="Q10" s="5" t="e">
        <f>VLOOKUP(RI_AssessmentTable[[#This Row],[Reserved Instance Sku]],RITable[[ArmSkuName]:[Price/Ratio (1y)]],4,FALSE)</f>
        <v>#N/A</v>
      </c>
      <c r="R10" s="6" t="e">
        <f>RI_AssessmentTable[[#This Row],[Expected Savings (1y)]]-RI_AssessmentTable[[#This Row],[Potential Cost (1y)]]</f>
        <v>#N/A</v>
      </c>
      <c r="S10" s="2" t="e">
        <f>RI_AssessmentTable[[#This Row],[Potential Cost (3y)]]/(1-RI_AssessmentTable[[#This Row],[Expected Savings % (3y)]])</f>
        <v>#N/A</v>
      </c>
      <c r="T10" s="9" t="e">
        <f>VLOOKUP(RI_AssessmentTable[[#This Row],[Reserved Instance Sku]],RITable[[ArmSkuName]:[Price/Ratio (3y)]],7,FALSE)</f>
        <v>#N/A</v>
      </c>
      <c r="U10" s="2" t="e">
        <f>RI_AssessmentTable[[#This Row],[Expected Savings (3y)]]-RI_AssessmentTable[[#This Row],[Potential Cost (3y)]]</f>
        <v>#N/A</v>
      </c>
    </row>
    <row r="11" spans="1:21" x14ac:dyDescent="0.3">
      <c r="A11" s="1"/>
      <c r="F11" s="7">
        <f>RI_AssessmentTable[[#This Row],[Potential Ratio]]-RI_AssessmentTable[[#This Row],[Already purchased Ratio]]</f>
        <v>0</v>
      </c>
      <c r="H11" s="7" t="e">
        <f>FLOOR(RI_AssessmentTable[[#This Row],[Potential Ratio to purchase]]/RI_AssessmentTable[[#This Row],[Ratio / RI]],1)</f>
        <v>#N/A</v>
      </c>
      <c r="I11" s="2" t="e">
        <f>VLOOKUP(RI_AssessmentTable[[#This Row],[Reserved Instance Sku]],RITable[[ArmSkuName]:[Price (1y)]],3,FALSE) * RI_AssessmentTable[[#This Row],[Potential Amount]]</f>
        <v>#N/A</v>
      </c>
      <c r="J11" s="2" t="e">
        <f>VLOOKUP(RI_AssessmentTable[[#This Row],[Reserved Instance Sku]],RITable[[ArmSkuName]:[Price (3y)]],6,FALSE) * RI_AssessmentTable[[#This Row],[Potential Amount]] / 3</f>
        <v>#N/A</v>
      </c>
      <c r="K11" s="24"/>
      <c r="L11" s="24"/>
      <c r="M11" s="3" t="e">
        <f>(RI_AssessmentTable[[#This Row],[Amount (1y)]]+RI_AssessmentTable[[#This Row],[Amount (3y)]] )*RI_AssessmentTable[[#This Row],[Ratio / RI]]</f>
        <v>#N/A</v>
      </c>
      <c r="N11" s="3" t="e">
        <f>VLOOKUP(RI_AssessmentTable[[#This Row],[Reserved Instance Sku]],RITable[[ArmSkuName]:[Ratio]],2,FALSE)</f>
        <v>#N/A</v>
      </c>
      <c r="O11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11" s="6" t="e">
        <f>RI_AssessmentTable[[#This Row],[Potential Cost (1y)]]/(1-RI_AssessmentTable[[#This Row],[Expected Savings % (1y)]])</f>
        <v>#N/A</v>
      </c>
      <c r="Q11" s="5" t="e">
        <f>VLOOKUP(RI_AssessmentTable[[#This Row],[Reserved Instance Sku]],RITable[[ArmSkuName]:[Price/Ratio (1y)]],4,FALSE)</f>
        <v>#N/A</v>
      </c>
      <c r="R11" s="6" t="e">
        <f>RI_AssessmentTable[[#This Row],[Expected Savings (1y)]]-RI_AssessmentTable[[#This Row],[Potential Cost (1y)]]</f>
        <v>#N/A</v>
      </c>
      <c r="S11" s="2" t="e">
        <f>RI_AssessmentTable[[#This Row],[Potential Cost (3y)]]/(1-RI_AssessmentTable[[#This Row],[Expected Savings % (3y)]])</f>
        <v>#N/A</v>
      </c>
      <c r="T11" s="9" t="e">
        <f>VLOOKUP(RI_AssessmentTable[[#This Row],[Reserved Instance Sku]],RITable[[ArmSkuName]:[Price/Ratio (3y)]],7,FALSE)</f>
        <v>#N/A</v>
      </c>
      <c r="U11" s="2" t="e">
        <f>RI_AssessmentTable[[#This Row],[Expected Savings (3y)]]-RI_AssessmentTable[[#This Row],[Potential Cost (3y)]]</f>
        <v>#N/A</v>
      </c>
    </row>
    <row r="12" spans="1:21" x14ac:dyDescent="0.3">
      <c r="A12" s="1"/>
      <c r="F12" s="7">
        <f>RI_AssessmentTable[[#This Row],[Potential Ratio]]-RI_AssessmentTable[[#This Row],[Already purchased Ratio]]</f>
        <v>0</v>
      </c>
      <c r="H12" s="7" t="e">
        <f>FLOOR(RI_AssessmentTable[[#This Row],[Potential Ratio to purchase]]/RI_AssessmentTable[[#This Row],[Ratio / RI]],1)</f>
        <v>#N/A</v>
      </c>
      <c r="I12" s="2" t="e">
        <f>VLOOKUP(RI_AssessmentTable[[#This Row],[Reserved Instance Sku]],RITable[[ArmSkuName]:[Price (1y)]],3,FALSE) * RI_AssessmentTable[[#This Row],[Potential Amount]]</f>
        <v>#N/A</v>
      </c>
      <c r="J12" s="2" t="e">
        <f>VLOOKUP(RI_AssessmentTable[[#This Row],[Reserved Instance Sku]],RITable[[ArmSkuName]:[Price (3y)]],6,FALSE) * RI_AssessmentTable[[#This Row],[Potential Amount]] / 3</f>
        <v>#N/A</v>
      </c>
      <c r="K12" s="24"/>
      <c r="L12" s="24"/>
      <c r="M12" s="3" t="e">
        <f>(RI_AssessmentTable[[#This Row],[Amount (1y)]]+RI_AssessmentTable[[#This Row],[Amount (3y)]] )*RI_AssessmentTable[[#This Row],[Ratio / RI]]</f>
        <v>#N/A</v>
      </c>
      <c r="N12" s="3" t="e">
        <f>VLOOKUP(RI_AssessmentTable[[#This Row],[Reserved Instance Sku]],RITable[[ArmSkuName]:[Ratio]],2,FALSE)</f>
        <v>#N/A</v>
      </c>
      <c r="O12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12" s="6" t="e">
        <f>RI_AssessmentTable[[#This Row],[Potential Cost (1y)]]/(1-RI_AssessmentTable[[#This Row],[Expected Savings % (1y)]])</f>
        <v>#N/A</v>
      </c>
      <c r="Q12" s="5" t="e">
        <f>VLOOKUP(RI_AssessmentTable[[#This Row],[Reserved Instance Sku]],RITable[[ArmSkuName]:[Price/Ratio (1y)]],4,FALSE)</f>
        <v>#N/A</v>
      </c>
      <c r="R12" s="6" t="e">
        <f>RI_AssessmentTable[[#This Row],[Expected Savings (1y)]]-RI_AssessmentTable[[#This Row],[Potential Cost (1y)]]</f>
        <v>#N/A</v>
      </c>
      <c r="S12" s="2" t="e">
        <f>RI_AssessmentTable[[#This Row],[Potential Cost (3y)]]/(1-RI_AssessmentTable[[#This Row],[Expected Savings % (3y)]])</f>
        <v>#N/A</v>
      </c>
      <c r="T12" s="9" t="e">
        <f>VLOOKUP(RI_AssessmentTable[[#This Row],[Reserved Instance Sku]],RITable[[ArmSkuName]:[Price/Ratio (3y)]],7,FALSE)</f>
        <v>#N/A</v>
      </c>
      <c r="U12" s="2" t="e">
        <f>RI_AssessmentTable[[#This Row],[Expected Savings (3y)]]-RI_AssessmentTable[[#This Row],[Potential Cost (3y)]]</f>
        <v>#N/A</v>
      </c>
    </row>
    <row r="13" spans="1:21" x14ac:dyDescent="0.3">
      <c r="A13" s="1"/>
      <c r="F13" s="7">
        <f>RI_AssessmentTable[[#This Row],[Potential Ratio]]-RI_AssessmentTable[[#This Row],[Already purchased Ratio]]</f>
        <v>0</v>
      </c>
      <c r="H13" s="7" t="e">
        <f>FLOOR(RI_AssessmentTable[[#This Row],[Potential Ratio to purchase]]/RI_AssessmentTable[[#This Row],[Ratio / RI]],1)</f>
        <v>#N/A</v>
      </c>
      <c r="I13" s="2" t="e">
        <f>VLOOKUP(RI_AssessmentTable[[#This Row],[Reserved Instance Sku]],RITable[[ArmSkuName]:[Price (1y)]],3,FALSE) * RI_AssessmentTable[[#This Row],[Potential Amount]]</f>
        <v>#N/A</v>
      </c>
      <c r="J13" s="2" t="e">
        <f>VLOOKUP(RI_AssessmentTable[[#This Row],[Reserved Instance Sku]],RITable[[ArmSkuName]:[Price (3y)]],6,FALSE) * RI_AssessmentTable[[#This Row],[Potential Amount]] / 3</f>
        <v>#N/A</v>
      </c>
      <c r="K13" s="24"/>
      <c r="L13" s="24"/>
      <c r="M13" s="3" t="e">
        <f>(RI_AssessmentTable[[#This Row],[Amount (1y)]]+RI_AssessmentTable[[#This Row],[Amount (3y)]] )*RI_AssessmentTable[[#This Row],[Ratio / RI]]</f>
        <v>#N/A</v>
      </c>
      <c r="N13" s="3" t="e">
        <f>VLOOKUP(RI_AssessmentTable[[#This Row],[Reserved Instance Sku]],RITable[[ArmSkuName]:[Ratio]],2,FALSE)</f>
        <v>#N/A</v>
      </c>
      <c r="O13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13" s="6" t="e">
        <f>RI_AssessmentTable[[#This Row],[Potential Cost (1y)]]/(1-RI_AssessmentTable[[#This Row],[Expected Savings % (1y)]])</f>
        <v>#N/A</v>
      </c>
      <c r="Q13" s="5" t="e">
        <f>VLOOKUP(RI_AssessmentTable[[#This Row],[Reserved Instance Sku]],RITable[[ArmSkuName]:[Price/Ratio (1y)]],4,FALSE)</f>
        <v>#N/A</v>
      </c>
      <c r="R13" s="6" t="e">
        <f>RI_AssessmentTable[[#This Row],[Expected Savings (1y)]]-RI_AssessmentTable[[#This Row],[Potential Cost (1y)]]</f>
        <v>#N/A</v>
      </c>
      <c r="S13" s="2" t="e">
        <f>RI_AssessmentTable[[#This Row],[Potential Cost (3y)]]/(1-RI_AssessmentTable[[#This Row],[Expected Savings % (3y)]])</f>
        <v>#N/A</v>
      </c>
      <c r="T13" s="9" t="e">
        <f>VLOOKUP(RI_AssessmentTable[[#This Row],[Reserved Instance Sku]],RITable[[ArmSkuName]:[Price/Ratio (3y)]],7,FALSE)</f>
        <v>#N/A</v>
      </c>
      <c r="U13" s="2" t="e">
        <f>RI_AssessmentTable[[#This Row],[Expected Savings (3y)]]-RI_AssessmentTable[[#This Row],[Potential Cost (3y)]]</f>
        <v>#N/A</v>
      </c>
    </row>
    <row r="14" spans="1:21" x14ac:dyDescent="0.3">
      <c r="A14" s="1"/>
      <c r="F14" s="7">
        <f>RI_AssessmentTable[[#This Row],[Potential Ratio]]-RI_AssessmentTable[[#This Row],[Already purchased Ratio]]</f>
        <v>0</v>
      </c>
      <c r="H14" s="7" t="e">
        <f>FLOOR(RI_AssessmentTable[[#This Row],[Potential Ratio to purchase]]/RI_AssessmentTable[[#This Row],[Ratio / RI]],1)</f>
        <v>#N/A</v>
      </c>
      <c r="I14" s="2" t="e">
        <f>VLOOKUP(RI_AssessmentTable[[#This Row],[Reserved Instance Sku]],RITable[[ArmSkuName]:[Price (1y)]],3,FALSE) * RI_AssessmentTable[[#This Row],[Potential Amount]]</f>
        <v>#N/A</v>
      </c>
      <c r="J14" s="2" t="e">
        <f>VLOOKUP(RI_AssessmentTable[[#This Row],[Reserved Instance Sku]],RITable[[ArmSkuName]:[Price (3y)]],6,FALSE) * RI_AssessmentTable[[#This Row],[Potential Amount]] / 3</f>
        <v>#N/A</v>
      </c>
      <c r="K14" s="24"/>
      <c r="L14" s="24"/>
      <c r="M14" s="3" t="e">
        <f>(RI_AssessmentTable[[#This Row],[Amount (1y)]]+RI_AssessmentTable[[#This Row],[Amount (3y)]] )*RI_AssessmentTable[[#This Row],[Ratio / RI]]</f>
        <v>#N/A</v>
      </c>
      <c r="N14" s="3" t="e">
        <f>VLOOKUP(RI_AssessmentTable[[#This Row],[Reserved Instance Sku]],RITable[[ArmSkuName]:[Ratio]],2,FALSE)</f>
        <v>#N/A</v>
      </c>
      <c r="O14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14" s="6" t="e">
        <f>RI_AssessmentTable[[#This Row],[Potential Cost (1y)]]/(1-RI_AssessmentTable[[#This Row],[Expected Savings % (1y)]])</f>
        <v>#N/A</v>
      </c>
      <c r="Q14" s="5" t="e">
        <f>VLOOKUP(RI_AssessmentTable[[#This Row],[Reserved Instance Sku]],RITable[[ArmSkuName]:[Price/Ratio (1y)]],4,FALSE)</f>
        <v>#N/A</v>
      </c>
      <c r="R14" s="6" t="e">
        <f>RI_AssessmentTable[[#This Row],[Expected Savings (1y)]]-RI_AssessmentTable[[#This Row],[Potential Cost (1y)]]</f>
        <v>#N/A</v>
      </c>
      <c r="S14" s="2" t="e">
        <f>RI_AssessmentTable[[#This Row],[Potential Cost (3y)]]/(1-RI_AssessmentTable[[#This Row],[Expected Savings % (3y)]])</f>
        <v>#N/A</v>
      </c>
      <c r="T14" s="9" t="e">
        <f>VLOOKUP(RI_AssessmentTable[[#This Row],[Reserved Instance Sku]],RITable[[ArmSkuName]:[Price/Ratio (3y)]],7,FALSE)</f>
        <v>#N/A</v>
      </c>
      <c r="U14" s="2" t="e">
        <f>RI_AssessmentTable[[#This Row],[Expected Savings (3y)]]-RI_AssessmentTable[[#This Row],[Potential Cost (3y)]]</f>
        <v>#N/A</v>
      </c>
    </row>
    <row r="15" spans="1:21" x14ac:dyDescent="0.3">
      <c r="A15" s="1"/>
      <c r="F15" s="8">
        <f>RI_AssessmentTable[[#This Row],[Potential Ratio]]-RI_AssessmentTable[[#This Row],[Already purchased Ratio]]</f>
        <v>0</v>
      </c>
      <c r="H15" s="8" t="e">
        <f>FLOOR(RI_AssessmentTable[[#This Row],[Potential Ratio to purchase]]/RI_AssessmentTable[[#This Row],[Ratio / RI]],1)</f>
        <v>#N/A</v>
      </c>
      <c r="I15" s="2" t="e">
        <f>VLOOKUP(RI_AssessmentTable[[#This Row],[Reserved Instance Sku]],RITable[[ArmSkuName]:[Price (1y)]],3,FALSE) * RI_AssessmentTable[[#This Row],[Potential Amount]]</f>
        <v>#N/A</v>
      </c>
      <c r="J15" s="2" t="e">
        <f>VLOOKUP(RI_AssessmentTable[[#This Row],[Reserved Instance Sku]],RITable[[ArmSkuName]:[Price (3y)]],6,FALSE) * RI_AssessmentTable[[#This Row],[Potential Amount]] / 3</f>
        <v>#N/A</v>
      </c>
      <c r="K15" s="24"/>
      <c r="L15" s="24"/>
      <c r="M15" s="3" t="e">
        <f>(RI_AssessmentTable[[#This Row],[Amount (1y)]]+RI_AssessmentTable[[#This Row],[Amount (3y)]] )*RI_AssessmentTable[[#This Row],[Ratio / RI]]</f>
        <v>#N/A</v>
      </c>
      <c r="N15" s="3" t="e">
        <f>VLOOKUP(RI_AssessmentTable[[#This Row],[Reserved Instance Sku]],RITable[[ArmSkuName]:[Ratio]],2,FALSE)</f>
        <v>#N/A</v>
      </c>
      <c r="O15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15" s="6" t="e">
        <f>RI_AssessmentTable[[#This Row],[Potential Cost (1y)]]/(1-RI_AssessmentTable[[#This Row],[Expected Savings % (1y)]])</f>
        <v>#N/A</v>
      </c>
      <c r="Q15" s="5" t="e">
        <f>VLOOKUP(RI_AssessmentTable[[#This Row],[Reserved Instance Sku]],RITable[[ArmSkuName]:[Price/Ratio (1y)]],4,FALSE)</f>
        <v>#N/A</v>
      </c>
      <c r="R15" s="6" t="e">
        <f>RI_AssessmentTable[[#This Row],[Expected Savings (1y)]]-RI_AssessmentTable[[#This Row],[Potential Cost (1y)]]</f>
        <v>#N/A</v>
      </c>
      <c r="S15" s="2" t="e">
        <f>RI_AssessmentTable[[#This Row],[Potential Cost (3y)]]/(1-RI_AssessmentTable[[#This Row],[Expected Savings % (3y)]])</f>
        <v>#N/A</v>
      </c>
      <c r="T15" s="9" t="e">
        <f>VLOOKUP(RI_AssessmentTable[[#This Row],[Reserved Instance Sku]],RITable[[ArmSkuName]:[Price/Ratio (3y)]],7,FALSE)</f>
        <v>#N/A</v>
      </c>
      <c r="U15" s="2" t="e">
        <f>RI_AssessmentTable[[#This Row],[Expected Savings (3y)]]-RI_AssessmentTable[[#This Row],[Potential Cost (3y)]]</f>
        <v>#N/A</v>
      </c>
    </row>
    <row r="16" spans="1:21" x14ac:dyDescent="0.3">
      <c r="A16" s="1"/>
      <c r="F16" s="8">
        <f>RI_AssessmentTable[[#This Row],[Potential Ratio]]-RI_AssessmentTable[[#This Row],[Already purchased Ratio]]</f>
        <v>0</v>
      </c>
      <c r="H16" s="8" t="e">
        <f>FLOOR(RI_AssessmentTable[[#This Row],[Potential Ratio to purchase]]/RI_AssessmentTable[[#This Row],[Ratio / RI]],1)</f>
        <v>#N/A</v>
      </c>
      <c r="I16" s="2" t="e">
        <f>VLOOKUP(RI_AssessmentTable[[#This Row],[Reserved Instance Sku]],RITable[[ArmSkuName]:[Price (1y)]],3,FALSE) * RI_AssessmentTable[[#This Row],[Potential Amount]]</f>
        <v>#N/A</v>
      </c>
      <c r="J16" s="2" t="e">
        <f>VLOOKUP(RI_AssessmentTable[[#This Row],[Reserved Instance Sku]],RITable[[ArmSkuName]:[Price (3y)]],6,FALSE) * RI_AssessmentTable[[#This Row],[Potential Amount]] / 3</f>
        <v>#N/A</v>
      </c>
      <c r="K16" s="24"/>
      <c r="L16" s="24"/>
      <c r="M16" s="3" t="e">
        <f>(RI_AssessmentTable[[#This Row],[Amount (1y)]]+RI_AssessmentTable[[#This Row],[Amount (3y)]] )*RI_AssessmentTable[[#This Row],[Ratio / RI]]</f>
        <v>#N/A</v>
      </c>
      <c r="N16" s="3" t="e">
        <f>VLOOKUP(RI_AssessmentTable[[#This Row],[Reserved Instance Sku]],RITable[[ArmSkuName]:[Ratio]],2,FALSE)</f>
        <v>#N/A</v>
      </c>
      <c r="O16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16" s="6" t="e">
        <f>RI_AssessmentTable[[#This Row],[Potential Cost (1y)]]/(1-RI_AssessmentTable[[#This Row],[Expected Savings % (1y)]])</f>
        <v>#N/A</v>
      </c>
      <c r="Q16" s="5" t="e">
        <f>VLOOKUP(RI_AssessmentTable[[#This Row],[Reserved Instance Sku]],RITable[[ArmSkuName]:[Price/Ratio (1y)]],4,FALSE)</f>
        <v>#N/A</v>
      </c>
      <c r="R16" s="6" t="e">
        <f>RI_AssessmentTable[[#This Row],[Expected Savings (1y)]]-RI_AssessmentTable[[#This Row],[Potential Cost (1y)]]</f>
        <v>#N/A</v>
      </c>
      <c r="S16" s="2" t="e">
        <f>RI_AssessmentTable[[#This Row],[Potential Cost (3y)]]/(1-RI_AssessmentTable[[#This Row],[Expected Savings % (3y)]])</f>
        <v>#N/A</v>
      </c>
      <c r="T16" s="9" t="e">
        <f>VLOOKUP(RI_AssessmentTable[[#This Row],[Reserved Instance Sku]],RITable[[ArmSkuName]:[Price/Ratio (3y)]],7,FALSE)</f>
        <v>#N/A</v>
      </c>
      <c r="U16" s="2" t="e">
        <f>RI_AssessmentTable[[#This Row],[Expected Savings (3y)]]-RI_AssessmentTable[[#This Row],[Potential Cost (3y)]]</f>
        <v>#N/A</v>
      </c>
    </row>
    <row r="17" spans="1:21" x14ac:dyDescent="0.3">
      <c r="A17" s="1"/>
      <c r="F17" s="8">
        <f>RI_AssessmentTable[[#This Row],[Potential Ratio]]-RI_AssessmentTable[[#This Row],[Already purchased Ratio]]</f>
        <v>0</v>
      </c>
      <c r="H17" s="8" t="e">
        <f>FLOOR(RI_AssessmentTable[[#This Row],[Potential Ratio to purchase]]/RI_AssessmentTable[[#This Row],[Ratio / RI]],1)</f>
        <v>#N/A</v>
      </c>
      <c r="I17" s="2" t="e">
        <f>VLOOKUP(RI_AssessmentTable[[#This Row],[Reserved Instance Sku]],RITable[[ArmSkuName]:[Price (1y)]],3,FALSE) * RI_AssessmentTable[[#This Row],[Potential Amount]]</f>
        <v>#N/A</v>
      </c>
      <c r="J17" s="2" t="e">
        <f>VLOOKUP(RI_AssessmentTable[[#This Row],[Reserved Instance Sku]],RITable[[ArmSkuName]:[Price (3y)]],6,FALSE) * RI_AssessmentTable[[#This Row],[Potential Amount]] / 3</f>
        <v>#N/A</v>
      </c>
      <c r="K17" s="24"/>
      <c r="L17" s="24"/>
      <c r="M17" s="3" t="e">
        <f>(RI_AssessmentTable[[#This Row],[Amount (1y)]]+RI_AssessmentTable[[#This Row],[Amount (3y)]] )*RI_AssessmentTable[[#This Row],[Ratio / RI]]</f>
        <v>#N/A</v>
      </c>
      <c r="N17" s="3" t="e">
        <f>VLOOKUP(RI_AssessmentTable[[#This Row],[Reserved Instance Sku]],RITable[[ArmSkuName]:[Ratio]],2,FALSE)</f>
        <v>#N/A</v>
      </c>
      <c r="O17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17" s="6" t="e">
        <f>RI_AssessmentTable[[#This Row],[Potential Cost (1y)]]/(1-RI_AssessmentTable[[#This Row],[Expected Savings % (1y)]])</f>
        <v>#N/A</v>
      </c>
      <c r="Q17" s="5" t="e">
        <f>VLOOKUP(RI_AssessmentTable[[#This Row],[Reserved Instance Sku]],RITable[[ArmSkuName]:[Price/Ratio (1y)]],4,FALSE)</f>
        <v>#N/A</v>
      </c>
      <c r="R17" s="6" t="e">
        <f>RI_AssessmentTable[[#This Row],[Expected Savings (1y)]]-RI_AssessmentTable[[#This Row],[Potential Cost (1y)]]</f>
        <v>#N/A</v>
      </c>
      <c r="S17" s="2" t="e">
        <f>RI_AssessmentTable[[#This Row],[Potential Cost (3y)]]/(1-RI_AssessmentTable[[#This Row],[Expected Savings % (3y)]])</f>
        <v>#N/A</v>
      </c>
      <c r="T17" s="9" t="e">
        <f>VLOOKUP(RI_AssessmentTable[[#This Row],[Reserved Instance Sku]],RITable[[ArmSkuName]:[Price/Ratio (3y)]],7,FALSE)</f>
        <v>#N/A</v>
      </c>
      <c r="U17" s="2" t="e">
        <f>RI_AssessmentTable[[#This Row],[Expected Savings (3y)]]-RI_AssessmentTable[[#This Row],[Potential Cost (3y)]]</f>
        <v>#N/A</v>
      </c>
    </row>
    <row r="18" spans="1:21" x14ac:dyDescent="0.3">
      <c r="A18" s="1"/>
      <c r="F18" s="8">
        <f>RI_AssessmentTable[[#This Row],[Potential Ratio]]-RI_AssessmentTable[[#This Row],[Already purchased Ratio]]</f>
        <v>0</v>
      </c>
      <c r="H18" s="8" t="e">
        <f>FLOOR(RI_AssessmentTable[[#This Row],[Potential Ratio to purchase]]/RI_AssessmentTable[[#This Row],[Ratio / RI]],1)</f>
        <v>#N/A</v>
      </c>
      <c r="I18" s="2" t="e">
        <f>VLOOKUP(RI_AssessmentTable[[#This Row],[Reserved Instance Sku]],RITable[[ArmSkuName]:[Price (1y)]],3,FALSE) * RI_AssessmentTable[[#This Row],[Potential Amount]]</f>
        <v>#N/A</v>
      </c>
      <c r="J18" s="2" t="e">
        <f>VLOOKUP(RI_AssessmentTable[[#This Row],[Reserved Instance Sku]],RITable[[ArmSkuName]:[Price (3y)]],6,FALSE) * RI_AssessmentTable[[#This Row],[Potential Amount]] / 3</f>
        <v>#N/A</v>
      </c>
      <c r="K18" s="24"/>
      <c r="L18" s="24"/>
      <c r="M18" s="3" t="e">
        <f>(RI_AssessmentTable[[#This Row],[Amount (1y)]]+RI_AssessmentTable[[#This Row],[Amount (3y)]] )*RI_AssessmentTable[[#This Row],[Ratio / RI]]</f>
        <v>#N/A</v>
      </c>
      <c r="N18" s="3" t="e">
        <f>VLOOKUP(RI_AssessmentTable[[#This Row],[Reserved Instance Sku]],RITable[[ArmSkuName]:[Ratio]],2,FALSE)</f>
        <v>#N/A</v>
      </c>
      <c r="O18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18" s="6" t="e">
        <f>RI_AssessmentTable[[#This Row],[Potential Cost (1y)]]/(1-RI_AssessmentTable[[#This Row],[Expected Savings % (1y)]])</f>
        <v>#N/A</v>
      </c>
      <c r="Q18" s="5" t="e">
        <f>VLOOKUP(RI_AssessmentTable[[#This Row],[Reserved Instance Sku]],RITable[[ArmSkuName]:[Price/Ratio (1y)]],4,FALSE)</f>
        <v>#N/A</v>
      </c>
      <c r="R18" s="6" t="e">
        <f>RI_AssessmentTable[[#This Row],[Expected Savings (1y)]]-RI_AssessmentTable[[#This Row],[Potential Cost (1y)]]</f>
        <v>#N/A</v>
      </c>
      <c r="S18" s="2" t="e">
        <f>RI_AssessmentTable[[#This Row],[Potential Cost (3y)]]/(1-RI_AssessmentTable[[#This Row],[Expected Savings % (3y)]])</f>
        <v>#N/A</v>
      </c>
      <c r="T18" s="9" t="e">
        <f>VLOOKUP(RI_AssessmentTable[[#This Row],[Reserved Instance Sku]],RITable[[ArmSkuName]:[Price/Ratio (3y)]],7,FALSE)</f>
        <v>#N/A</v>
      </c>
      <c r="U18" s="2" t="e">
        <f>RI_AssessmentTable[[#This Row],[Expected Savings (3y)]]-RI_AssessmentTable[[#This Row],[Potential Cost (3y)]]</f>
        <v>#N/A</v>
      </c>
    </row>
    <row r="19" spans="1:21" x14ac:dyDescent="0.3">
      <c r="A19" s="1"/>
      <c r="F19" s="7">
        <f>RI_AssessmentTable[[#This Row],[Potential Ratio]]-RI_AssessmentTable[[#This Row],[Already purchased Ratio]]</f>
        <v>0</v>
      </c>
      <c r="H19" s="7" t="e">
        <f>FLOOR(RI_AssessmentTable[[#This Row],[Potential Ratio to purchase]]/RI_AssessmentTable[[#This Row],[Ratio / RI]],1)</f>
        <v>#N/A</v>
      </c>
      <c r="I19" s="2" t="e">
        <f>VLOOKUP(RI_AssessmentTable[[#This Row],[Reserved Instance Sku]],RITable[[ArmSkuName]:[Price (1y)]],3,FALSE) * RI_AssessmentTable[[#This Row],[Potential Amount]]</f>
        <v>#N/A</v>
      </c>
      <c r="J19" s="2" t="e">
        <f>VLOOKUP(RI_AssessmentTable[[#This Row],[Reserved Instance Sku]],RITable[[ArmSkuName]:[Price (3y)]],6,FALSE) * RI_AssessmentTable[[#This Row],[Potential Amount]] / 3</f>
        <v>#N/A</v>
      </c>
      <c r="K19" s="24"/>
      <c r="L19" s="24"/>
      <c r="M19" s="3" t="e">
        <f>(RI_AssessmentTable[[#This Row],[Amount (1y)]]+RI_AssessmentTable[[#This Row],[Amount (3y)]] )*RI_AssessmentTable[[#This Row],[Ratio / RI]]</f>
        <v>#N/A</v>
      </c>
      <c r="N19" s="3" t="e">
        <f>VLOOKUP(RI_AssessmentTable[[#This Row],[Reserved Instance Sku]],RITable[[ArmSkuName]:[Ratio]],2,FALSE)</f>
        <v>#N/A</v>
      </c>
      <c r="O19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19" s="6" t="e">
        <f>RI_AssessmentTable[[#This Row],[Potential Cost (1y)]]/(1-RI_AssessmentTable[[#This Row],[Expected Savings % (1y)]])</f>
        <v>#N/A</v>
      </c>
      <c r="Q19" s="5" t="e">
        <f>VLOOKUP(RI_AssessmentTable[[#This Row],[Reserved Instance Sku]],RITable[[ArmSkuName]:[Price/Ratio (1y)]],4,FALSE)</f>
        <v>#N/A</v>
      </c>
      <c r="R19" s="6" t="e">
        <f>RI_AssessmentTable[[#This Row],[Expected Savings (1y)]]-RI_AssessmentTable[[#This Row],[Potential Cost (1y)]]</f>
        <v>#N/A</v>
      </c>
      <c r="S19" s="2" t="e">
        <f>RI_AssessmentTable[[#This Row],[Potential Cost (3y)]]/(1-RI_AssessmentTable[[#This Row],[Expected Savings % (3y)]])</f>
        <v>#N/A</v>
      </c>
      <c r="T19" s="9" t="e">
        <f>VLOOKUP(RI_AssessmentTable[[#This Row],[Reserved Instance Sku]],RITable[[ArmSkuName]:[Price/Ratio (3y)]],7,FALSE)</f>
        <v>#N/A</v>
      </c>
      <c r="U19" s="2" t="e">
        <f>RI_AssessmentTable[[#This Row],[Expected Savings (3y)]]-RI_AssessmentTable[[#This Row],[Potential Cost (3y)]]</f>
        <v>#N/A</v>
      </c>
    </row>
    <row r="20" spans="1:21" x14ac:dyDescent="0.3">
      <c r="A20" s="1"/>
      <c r="F20" s="7">
        <f>RI_AssessmentTable[[#This Row],[Potential Ratio]]-RI_AssessmentTable[[#This Row],[Already purchased Ratio]]</f>
        <v>0</v>
      </c>
      <c r="H20" s="7" t="e">
        <f>FLOOR(RI_AssessmentTable[[#This Row],[Potential Ratio to purchase]]/RI_AssessmentTable[[#This Row],[Ratio / RI]],1)</f>
        <v>#N/A</v>
      </c>
      <c r="I20" s="2" t="e">
        <f>VLOOKUP(RI_AssessmentTable[[#This Row],[Reserved Instance Sku]],RITable[[ArmSkuName]:[Price (1y)]],3,FALSE) * RI_AssessmentTable[[#This Row],[Potential Amount]]</f>
        <v>#N/A</v>
      </c>
      <c r="J20" s="2" t="e">
        <f>VLOOKUP(RI_AssessmentTable[[#This Row],[Reserved Instance Sku]],RITable[[ArmSkuName]:[Price (3y)]],6,FALSE) * RI_AssessmentTable[[#This Row],[Potential Amount]] / 3</f>
        <v>#N/A</v>
      </c>
      <c r="K20" s="24"/>
      <c r="L20" s="24"/>
      <c r="M20" s="3" t="e">
        <f>(RI_AssessmentTable[[#This Row],[Amount (1y)]]+RI_AssessmentTable[[#This Row],[Amount (3y)]] )*RI_AssessmentTable[[#This Row],[Ratio / RI]]</f>
        <v>#N/A</v>
      </c>
      <c r="N20" s="3" t="e">
        <f>VLOOKUP(RI_AssessmentTable[[#This Row],[Reserved Instance Sku]],RITable[[ArmSkuName]:[Ratio]],2,FALSE)</f>
        <v>#N/A</v>
      </c>
      <c r="O20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20" s="6" t="e">
        <f>RI_AssessmentTable[[#This Row],[Potential Cost (1y)]]/(1-RI_AssessmentTable[[#This Row],[Expected Savings % (1y)]])</f>
        <v>#N/A</v>
      </c>
      <c r="Q20" s="5" t="e">
        <f>VLOOKUP(RI_AssessmentTable[[#This Row],[Reserved Instance Sku]],RITable[[ArmSkuName]:[Price/Ratio (1y)]],4,FALSE)</f>
        <v>#N/A</v>
      </c>
      <c r="R20" s="6" t="e">
        <f>RI_AssessmentTable[[#This Row],[Expected Savings (1y)]]-RI_AssessmentTable[[#This Row],[Potential Cost (1y)]]</f>
        <v>#N/A</v>
      </c>
      <c r="S20" s="2" t="e">
        <f>RI_AssessmentTable[[#This Row],[Potential Cost (3y)]]/(1-RI_AssessmentTable[[#This Row],[Expected Savings % (3y)]])</f>
        <v>#N/A</v>
      </c>
      <c r="T20" s="9" t="e">
        <f>VLOOKUP(RI_AssessmentTable[[#This Row],[Reserved Instance Sku]],RITable[[ArmSkuName]:[Price/Ratio (3y)]],7,FALSE)</f>
        <v>#N/A</v>
      </c>
      <c r="U20" s="2" t="e">
        <f>RI_AssessmentTable[[#This Row],[Expected Savings (3y)]]-RI_AssessmentTable[[#This Row],[Potential Cost (3y)]]</f>
        <v>#N/A</v>
      </c>
    </row>
    <row r="21" spans="1:21" x14ac:dyDescent="0.3">
      <c r="A21" s="1"/>
      <c r="F21" s="7">
        <f>RI_AssessmentTable[[#This Row],[Potential Ratio]]-RI_AssessmentTable[[#This Row],[Already purchased Ratio]]</f>
        <v>0</v>
      </c>
      <c r="H21" s="7" t="e">
        <f>FLOOR(RI_AssessmentTable[[#This Row],[Potential Ratio to purchase]]/RI_AssessmentTable[[#This Row],[Ratio / RI]],1)</f>
        <v>#N/A</v>
      </c>
      <c r="I21" s="2" t="e">
        <f>VLOOKUP(RI_AssessmentTable[[#This Row],[Reserved Instance Sku]],RITable[[ArmSkuName]:[Price (1y)]],3,FALSE) * RI_AssessmentTable[[#This Row],[Potential Amount]]</f>
        <v>#N/A</v>
      </c>
      <c r="J21" s="2" t="e">
        <f>VLOOKUP(RI_AssessmentTable[[#This Row],[Reserved Instance Sku]],RITable[[ArmSkuName]:[Price (3y)]],6,FALSE) * RI_AssessmentTable[[#This Row],[Potential Amount]] / 3</f>
        <v>#N/A</v>
      </c>
      <c r="K21" s="24"/>
      <c r="L21" s="24"/>
      <c r="M21" s="3" t="e">
        <f>(RI_AssessmentTable[[#This Row],[Amount (1y)]]+RI_AssessmentTable[[#This Row],[Amount (3y)]] )*RI_AssessmentTable[[#This Row],[Ratio / RI]]</f>
        <v>#N/A</v>
      </c>
      <c r="N21" s="3" t="e">
        <f>VLOOKUP(RI_AssessmentTable[[#This Row],[Reserved Instance Sku]],RITable[[ArmSkuName]:[Ratio]],2,FALSE)</f>
        <v>#N/A</v>
      </c>
      <c r="O21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21" s="6" t="e">
        <f>RI_AssessmentTable[[#This Row],[Potential Cost (1y)]]/(1-RI_AssessmentTable[[#This Row],[Expected Savings % (1y)]])</f>
        <v>#N/A</v>
      </c>
      <c r="Q21" s="5" t="e">
        <f>VLOOKUP(RI_AssessmentTable[[#This Row],[Reserved Instance Sku]],RITable[[ArmSkuName]:[Price/Ratio (1y)]],4,FALSE)</f>
        <v>#N/A</v>
      </c>
      <c r="R21" s="6" t="e">
        <f>RI_AssessmentTable[[#This Row],[Expected Savings (1y)]]-RI_AssessmentTable[[#This Row],[Potential Cost (1y)]]</f>
        <v>#N/A</v>
      </c>
      <c r="S21" s="2" t="e">
        <f>RI_AssessmentTable[[#This Row],[Potential Cost (3y)]]/(1-RI_AssessmentTable[[#This Row],[Expected Savings % (3y)]])</f>
        <v>#N/A</v>
      </c>
      <c r="T21" s="9" t="e">
        <f>VLOOKUP(RI_AssessmentTable[[#This Row],[Reserved Instance Sku]],RITable[[ArmSkuName]:[Price/Ratio (3y)]],7,FALSE)</f>
        <v>#N/A</v>
      </c>
      <c r="U21" s="2" t="e">
        <f>RI_AssessmentTable[[#This Row],[Expected Savings (3y)]]-RI_AssessmentTable[[#This Row],[Potential Cost (3y)]]</f>
        <v>#N/A</v>
      </c>
    </row>
    <row r="22" spans="1:21" x14ac:dyDescent="0.3">
      <c r="A22" s="1"/>
      <c r="F22" s="7">
        <f>RI_AssessmentTable[[#This Row],[Potential Ratio]]-RI_AssessmentTable[[#This Row],[Already purchased Ratio]]</f>
        <v>0</v>
      </c>
      <c r="H22" s="7" t="e">
        <f>FLOOR(RI_AssessmentTable[[#This Row],[Potential Ratio to purchase]]/RI_AssessmentTable[[#This Row],[Ratio / RI]],1)</f>
        <v>#N/A</v>
      </c>
      <c r="I22" s="2" t="e">
        <f>VLOOKUP(RI_AssessmentTable[[#This Row],[Reserved Instance Sku]],RITable[[ArmSkuName]:[Price (1y)]],3,FALSE) * RI_AssessmentTable[[#This Row],[Potential Amount]]</f>
        <v>#N/A</v>
      </c>
      <c r="J22" s="2" t="e">
        <f>VLOOKUP(RI_AssessmentTable[[#This Row],[Reserved Instance Sku]],RITable[[ArmSkuName]:[Price (3y)]],6,FALSE) * RI_AssessmentTable[[#This Row],[Potential Amount]] / 3</f>
        <v>#N/A</v>
      </c>
      <c r="K22" s="24"/>
      <c r="L22" s="24"/>
      <c r="M22" s="3" t="e">
        <f>(RI_AssessmentTable[[#This Row],[Amount (1y)]]+RI_AssessmentTable[[#This Row],[Amount (3y)]] )*RI_AssessmentTable[[#This Row],[Ratio / RI]]</f>
        <v>#N/A</v>
      </c>
      <c r="N22" s="3" t="e">
        <f>VLOOKUP(RI_AssessmentTable[[#This Row],[Reserved Instance Sku]],RITable[[ArmSkuName]:[Ratio]],2,FALSE)</f>
        <v>#N/A</v>
      </c>
      <c r="O22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22" s="6" t="e">
        <f>RI_AssessmentTable[[#This Row],[Potential Cost (1y)]]/(1-RI_AssessmentTable[[#This Row],[Expected Savings % (1y)]])</f>
        <v>#N/A</v>
      </c>
      <c r="Q22" s="5" t="e">
        <f>VLOOKUP(RI_AssessmentTable[[#This Row],[Reserved Instance Sku]],RITable[[ArmSkuName]:[Price/Ratio (1y)]],4,FALSE)</f>
        <v>#N/A</v>
      </c>
      <c r="R22" s="6" t="e">
        <f>RI_AssessmentTable[[#This Row],[Expected Savings (1y)]]-RI_AssessmentTable[[#This Row],[Potential Cost (1y)]]</f>
        <v>#N/A</v>
      </c>
      <c r="S22" s="2" t="e">
        <f>RI_AssessmentTable[[#This Row],[Potential Cost (3y)]]/(1-RI_AssessmentTable[[#This Row],[Expected Savings % (3y)]])</f>
        <v>#N/A</v>
      </c>
      <c r="T22" s="9" t="e">
        <f>VLOOKUP(RI_AssessmentTable[[#This Row],[Reserved Instance Sku]],RITable[[ArmSkuName]:[Price/Ratio (3y)]],7,FALSE)</f>
        <v>#N/A</v>
      </c>
      <c r="U22" s="2" t="e">
        <f>RI_AssessmentTable[[#This Row],[Expected Savings (3y)]]-RI_AssessmentTable[[#This Row],[Potential Cost (3y)]]</f>
        <v>#N/A</v>
      </c>
    </row>
    <row r="23" spans="1:21" x14ac:dyDescent="0.3">
      <c r="A23" s="1"/>
      <c r="F23" s="7">
        <f>RI_AssessmentTable[[#This Row],[Potential Ratio]]-RI_AssessmentTable[[#This Row],[Already purchased Ratio]]</f>
        <v>0</v>
      </c>
      <c r="H23" s="7" t="e">
        <f>FLOOR(RI_AssessmentTable[[#This Row],[Potential Ratio to purchase]]/RI_AssessmentTable[[#This Row],[Ratio / RI]],1)</f>
        <v>#N/A</v>
      </c>
      <c r="I23" s="2" t="e">
        <f>VLOOKUP(RI_AssessmentTable[[#This Row],[Reserved Instance Sku]],RITable[[ArmSkuName]:[Price (1y)]],3,FALSE) * RI_AssessmentTable[[#This Row],[Potential Amount]]</f>
        <v>#N/A</v>
      </c>
      <c r="J23" s="2" t="e">
        <f>VLOOKUP(RI_AssessmentTable[[#This Row],[Reserved Instance Sku]],RITable[[ArmSkuName]:[Price (3y)]],6,FALSE) * RI_AssessmentTable[[#This Row],[Potential Amount]] / 3</f>
        <v>#N/A</v>
      </c>
      <c r="K23" s="24"/>
      <c r="L23" s="24"/>
      <c r="M23" s="7" t="e">
        <f>(RI_AssessmentTable[[#This Row],[Amount (1y)]]+RI_AssessmentTable[[#This Row],[Amount (3y)]] )*RI_AssessmentTable[[#This Row],[Ratio / RI]]</f>
        <v>#N/A</v>
      </c>
      <c r="N23" s="7" t="e">
        <f>VLOOKUP(RI_AssessmentTable[[#This Row],[Reserved Instance Sku]],RITable[[ArmSkuName]:[Ratio]],2,FALSE)</f>
        <v>#N/A</v>
      </c>
      <c r="O23" s="8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23" s="2" t="e">
        <f>RI_AssessmentTable[[#This Row],[Potential Cost (1y)]]/(1-RI_AssessmentTable[[#This Row],[Expected Savings % (1y)]])</f>
        <v>#N/A</v>
      </c>
      <c r="Q23" s="9" t="e">
        <f>VLOOKUP(RI_AssessmentTable[[#This Row],[Reserved Instance Sku]],RITable[[ArmSkuName]:[Price/Ratio (1y)]],4,FALSE)</f>
        <v>#N/A</v>
      </c>
      <c r="R23" s="2" t="e">
        <f>RI_AssessmentTable[[#This Row],[Expected Savings (1y)]]-RI_AssessmentTable[[#This Row],[Potential Cost (1y)]]</f>
        <v>#N/A</v>
      </c>
      <c r="S23" s="2" t="e">
        <f>RI_AssessmentTable[[#This Row],[Potential Cost (3y)]]/(1-RI_AssessmentTable[[#This Row],[Expected Savings % (3y)]])</f>
        <v>#N/A</v>
      </c>
      <c r="T23" s="9" t="e">
        <f>VLOOKUP(RI_AssessmentTable[[#This Row],[Reserved Instance Sku]],RITable[[ArmSkuName]:[Price/Ratio (3y)]],7,FALSE)</f>
        <v>#N/A</v>
      </c>
      <c r="U23" s="2" t="e">
        <f>RI_AssessmentTable[[#This Row],[Expected Savings (3y)]]-RI_AssessmentTable[[#This Row],[Potential Cost (3y)]]</f>
        <v>#N/A</v>
      </c>
    </row>
    <row r="24" spans="1:21" x14ac:dyDescent="0.3">
      <c r="A24" s="1"/>
      <c r="F24" s="7">
        <f>RI_AssessmentTable[[#This Row],[Potential Ratio]]-RI_AssessmentTable[[#This Row],[Already purchased Ratio]]</f>
        <v>0</v>
      </c>
      <c r="H24" s="7" t="e">
        <f>FLOOR(RI_AssessmentTable[[#This Row],[Potential Ratio to purchase]]/RI_AssessmentTable[[#This Row],[Ratio / RI]],1)</f>
        <v>#N/A</v>
      </c>
      <c r="I24" s="2" t="e">
        <f>VLOOKUP(RI_AssessmentTable[[#This Row],[Reserved Instance Sku]],RITable[[ArmSkuName]:[Price (1y)]],3,FALSE) * RI_AssessmentTable[[#This Row],[Potential Amount]]</f>
        <v>#N/A</v>
      </c>
      <c r="J24" s="2" t="e">
        <f>VLOOKUP(RI_AssessmentTable[[#This Row],[Reserved Instance Sku]],RITable[[ArmSkuName]:[Price (3y)]],6,FALSE) * RI_AssessmentTable[[#This Row],[Potential Amount]] / 3</f>
        <v>#N/A</v>
      </c>
      <c r="K24" s="24"/>
      <c r="L24" s="24"/>
      <c r="M24" s="3" t="e">
        <f>(RI_AssessmentTable[[#This Row],[Amount (1y)]]+RI_AssessmentTable[[#This Row],[Amount (3y)]] )*RI_AssessmentTable[[#This Row],[Ratio / RI]]</f>
        <v>#N/A</v>
      </c>
      <c r="N24" s="3" t="e">
        <f>VLOOKUP(RI_AssessmentTable[[#This Row],[Reserved Instance Sku]],RITable[[ArmSkuName]:[Ratio]],2,FALSE)</f>
        <v>#N/A</v>
      </c>
      <c r="O24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24" s="6" t="e">
        <f>RI_AssessmentTable[[#This Row],[Potential Cost (1y)]]/(1-RI_AssessmentTable[[#This Row],[Expected Savings % (1y)]])</f>
        <v>#N/A</v>
      </c>
      <c r="Q24" s="5" t="e">
        <f>VLOOKUP(RI_AssessmentTable[[#This Row],[Reserved Instance Sku]],RITable[[ArmSkuName]:[Price/Ratio (1y)]],4,FALSE)</f>
        <v>#N/A</v>
      </c>
      <c r="R24" s="6" t="e">
        <f>RI_AssessmentTable[[#This Row],[Expected Savings (1y)]]-RI_AssessmentTable[[#This Row],[Potential Cost (1y)]]</f>
        <v>#N/A</v>
      </c>
      <c r="S24" s="2" t="e">
        <f>RI_AssessmentTable[[#This Row],[Potential Cost (3y)]]/(1-RI_AssessmentTable[[#This Row],[Expected Savings % (3y)]])</f>
        <v>#N/A</v>
      </c>
      <c r="T24" s="9" t="e">
        <f>VLOOKUP(RI_AssessmentTable[[#This Row],[Reserved Instance Sku]],RITable[[ArmSkuName]:[Price/Ratio (3y)]],7,FALSE)</f>
        <v>#N/A</v>
      </c>
      <c r="U24" s="2" t="e">
        <f>RI_AssessmentTable[[#This Row],[Expected Savings (3y)]]-RI_AssessmentTable[[#This Row],[Potential Cost (3y)]]</f>
        <v>#N/A</v>
      </c>
    </row>
    <row r="25" spans="1:21" x14ac:dyDescent="0.3">
      <c r="A25" s="1"/>
      <c r="F25" s="7">
        <f>RI_AssessmentTable[[#This Row],[Potential Ratio]]-RI_AssessmentTable[[#This Row],[Already purchased Ratio]]</f>
        <v>0</v>
      </c>
      <c r="H25" s="7" t="e">
        <f>FLOOR(RI_AssessmentTable[[#This Row],[Potential Ratio to purchase]]/RI_AssessmentTable[[#This Row],[Ratio / RI]],1)</f>
        <v>#N/A</v>
      </c>
      <c r="I25" s="2" t="e">
        <f>VLOOKUP(RI_AssessmentTable[[#This Row],[Reserved Instance Sku]],RITable[[ArmSkuName]:[Price (1y)]],3,FALSE) * RI_AssessmentTable[[#This Row],[Potential Amount]]</f>
        <v>#N/A</v>
      </c>
      <c r="J25" s="2" t="e">
        <f>VLOOKUP(RI_AssessmentTable[[#This Row],[Reserved Instance Sku]],RITable[[ArmSkuName]:[Price (3y)]],6,FALSE) * RI_AssessmentTable[[#This Row],[Potential Amount]] / 3</f>
        <v>#N/A</v>
      </c>
      <c r="K25" s="24"/>
      <c r="L25" s="24"/>
      <c r="M25" s="7" t="e">
        <f>(RI_AssessmentTable[[#This Row],[Amount (1y)]]+RI_AssessmentTable[[#This Row],[Amount (3y)]] )*RI_AssessmentTable[[#This Row],[Ratio / RI]]</f>
        <v>#N/A</v>
      </c>
      <c r="N25" s="7" t="e">
        <f>VLOOKUP(RI_AssessmentTable[[#This Row],[Reserved Instance Sku]],RITable[[ArmSkuName]:[Ratio]],2,FALSE)</f>
        <v>#N/A</v>
      </c>
      <c r="O25" s="7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25" s="2" t="e">
        <f>RI_AssessmentTable[[#This Row],[Potential Cost (1y)]]/(1-RI_AssessmentTable[[#This Row],[Expected Savings % (1y)]])</f>
        <v>#N/A</v>
      </c>
      <c r="Q25" s="9" t="e">
        <f>VLOOKUP(RI_AssessmentTable[[#This Row],[Reserved Instance Sku]],RITable[[ArmSkuName]:[Price/Ratio (1y)]],4,FALSE)</f>
        <v>#N/A</v>
      </c>
      <c r="R25" s="2" t="e">
        <f>RI_AssessmentTable[[#This Row],[Expected Savings (1y)]]-RI_AssessmentTable[[#This Row],[Potential Cost (1y)]]</f>
        <v>#N/A</v>
      </c>
      <c r="S25" s="2" t="e">
        <f>RI_AssessmentTable[[#This Row],[Potential Cost (3y)]]/(1-RI_AssessmentTable[[#This Row],[Expected Savings % (3y)]])</f>
        <v>#N/A</v>
      </c>
      <c r="T25" s="9" t="e">
        <f>VLOOKUP(RI_AssessmentTable[[#This Row],[Reserved Instance Sku]],RITable[[ArmSkuName]:[Price/Ratio (3y)]],7,FALSE)</f>
        <v>#N/A</v>
      </c>
      <c r="U25" s="2" t="e">
        <f>RI_AssessmentTable[[#This Row],[Expected Savings (3y)]]-RI_AssessmentTable[[#This Row],[Potential Cost (3y)]]</f>
        <v>#N/A</v>
      </c>
    </row>
    <row r="26" spans="1:21" s="17" customFormat="1" ht="25.8" x14ac:dyDescent="0.5">
      <c r="A26" s="16"/>
      <c r="D26" s="17">
        <f>SUBTOTAL(109,RI_AssessmentTable[Potential Ratio])</f>
        <v>0</v>
      </c>
      <c r="E26" s="17">
        <f>SUBTOTAL(109,RI_AssessmentTable[Already purchased Ratio])</f>
        <v>0</v>
      </c>
      <c r="F26" s="20"/>
      <c r="H26" s="20"/>
      <c r="I26" s="18" t="e">
        <f>SUBTOTAL(109,RI_AssessmentTable[Potential Cost (1y)])</f>
        <v>#N/A</v>
      </c>
      <c r="J26" s="18" t="e">
        <f>SUBTOTAL(109,RI_AssessmentTable[Potential Cost (3y)])</f>
        <v>#N/A</v>
      </c>
      <c r="K26" s="18"/>
      <c r="L26" s="18"/>
      <c r="M26" s="20"/>
      <c r="N26" s="20"/>
      <c r="O26" s="20"/>
      <c r="P26" s="21" t="e">
        <f>SUBTOTAL(109,RI_AssessmentTable[Expected Savings (1y)])</f>
        <v>#N/A</v>
      </c>
      <c r="Q26" s="22" t="e">
        <f>RI_AssessmentTable[[#Totals],[Expected Net Savings (1y)]]/RI_AssessmentTable[[#Totals],[Expected Savings (1y)]]</f>
        <v>#N/A</v>
      </c>
      <c r="R26" s="18" t="e">
        <f>SUBTOTAL(109,RI_AssessmentTable[Expected Net Savings (1y)])</f>
        <v>#N/A</v>
      </c>
      <c r="S26" s="21" t="e">
        <f>SUBTOTAL(109,RI_AssessmentTable[Expected Savings (3y)])</f>
        <v>#N/A</v>
      </c>
      <c r="T26" s="22" t="e">
        <f>RI_AssessmentTable[[#Totals],[Expected Net Savings (3y)]]/RI_AssessmentTable[[#Totals],[Expected Savings (3y)]]</f>
        <v>#N/A</v>
      </c>
      <c r="U26" s="23" t="e">
        <f>SUBTOTAL(109,RI_AssessmentTable[Expected Net Savings (3y)])</f>
        <v>#N/A</v>
      </c>
    </row>
    <row r="28" spans="1:21" x14ac:dyDescent="0.3">
      <c r="G28" s="14"/>
      <c r="J28" s="15"/>
      <c r="K28" s="15"/>
      <c r="L28" s="15"/>
    </row>
    <row r="30" spans="1:21" x14ac:dyDescent="0.3">
      <c r="Q30" s="13"/>
    </row>
    <row r="31" spans="1:21" ht="25.8" x14ac:dyDescent="0.5">
      <c r="E31" s="26" t="s">
        <v>33</v>
      </c>
      <c r="F31" s="25" t="e">
        <f>(RI_AssessmentTable[[#Totals],[Expected Savings (1y)]] * (1-$C$3)) + (RI_AssessmentTable[[#Totals],[Expected Savings (3y)]] * $C$3)</f>
        <v>#N/A</v>
      </c>
      <c r="G31" t="str">
        <f>_xlfn.CONCAT(F$3,"/year")</f>
        <v>EUR/year</v>
      </c>
    </row>
    <row r="32" spans="1:21" ht="25.8" x14ac:dyDescent="0.5">
      <c r="E32" s="26" t="s">
        <v>34</v>
      </c>
      <c r="F32" s="25" t="e">
        <f>RI_AssessmentTable[[#Totals],[Potential Cost (1y)]]*(1-$C$3) + (RI_AssessmentTable[[#Totals],[Potential Cost (3y)]] *$C$3)</f>
        <v>#N/A</v>
      </c>
      <c r="G32" t="str">
        <f t="shared" ref="G32:G33" si="0">_xlfn.CONCAT(F$3,"/year")</f>
        <v>EUR/year</v>
      </c>
    </row>
    <row r="33" spans="5:8" ht="25.8" x14ac:dyDescent="0.5">
      <c r="E33" s="26" t="s">
        <v>28</v>
      </c>
      <c r="F33" s="25" t="e">
        <f>F31-F32</f>
        <v>#N/A</v>
      </c>
      <c r="G33" t="str">
        <f t="shared" si="0"/>
        <v>EUR/year</v>
      </c>
    </row>
    <row r="34" spans="5:8" x14ac:dyDescent="0.3">
      <c r="E34" s="14"/>
    </row>
    <row r="35" spans="5:8" x14ac:dyDescent="0.3">
      <c r="E35" s="14"/>
      <c r="G35" s="13"/>
    </row>
    <row r="36" spans="5:8" x14ac:dyDescent="0.3">
      <c r="G36" s="14"/>
      <c r="H36" s="15"/>
    </row>
    <row r="37" spans="5:8" x14ac:dyDescent="0.3">
      <c r="G37" s="14"/>
    </row>
    <row r="38" spans="5:8" x14ac:dyDescent="0.3">
      <c r="G38" s="14"/>
    </row>
    <row r="39" spans="5:8" x14ac:dyDescent="0.3">
      <c r="G39" s="14"/>
    </row>
    <row r="40" spans="5:8" x14ac:dyDescent="0.3">
      <c r="G40" s="14"/>
    </row>
    <row r="41" spans="5:8" x14ac:dyDescent="0.3">
      <c r="G41" s="14"/>
    </row>
    <row r="42" spans="5:8" x14ac:dyDescent="0.3">
      <c r="G42" s="14"/>
    </row>
    <row r="43" spans="5:8" x14ac:dyDescent="0.3">
      <c r="G43" s="14"/>
    </row>
    <row r="44" spans="5:8" x14ac:dyDescent="0.3">
      <c r="G44" s="14"/>
    </row>
    <row r="45" spans="5:8" x14ac:dyDescent="0.3">
      <c r="G45" s="14"/>
    </row>
    <row r="46" spans="5:8" x14ac:dyDescent="0.3">
      <c r="G46" s="14"/>
    </row>
    <row r="47" spans="5:8" x14ac:dyDescent="0.3">
      <c r="G47" s="14"/>
    </row>
    <row r="48" spans="5:8" x14ac:dyDescent="0.3">
      <c r="G48" s="14"/>
    </row>
    <row r="49" spans="7:7" x14ac:dyDescent="0.3">
      <c r="G49" s="14"/>
    </row>
    <row r="50" spans="7:7" x14ac:dyDescent="0.3">
      <c r="G50" s="14"/>
    </row>
    <row r="51" spans="7:7" x14ac:dyDescent="0.3">
      <c r="G51" s="14"/>
    </row>
    <row r="52" spans="7:7" x14ac:dyDescent="0.3">
      <c r="G52" s="14"/>
    </row>
    <row r="53" spans="7:7" x14ac:dyDescent="0.3">
      <c r="G53" s="14"/>
    </row>
    <row r="54" spans="7:7" x14ac:dyDescent="0.3">
      <c r="G54" s="14"/>
    </row>
    <row r="55" spans="7:7" x14ac:dyDescent="0.3">
      <c r="G55" s="14"/>
    </row>
    <row r="56" spans="7:7" x14ac:dyDescent="0.3">
      <c r="G56" s="14"/>
    </row>
    <row r="57" spans="7:7" x14ac:dyDescent="0.3">
      <c r="G57" s="14"/>
    </row>
    <row r="58" spans="7:7" x14ac:dyDescent="0.3">
      <c r="G58" s="14"/>
    </row>
    <row r="59" spans="7:7" x14ac:dyDescent="0.3">
      <c r="G59" s="14"/>
    </row>
    <row r="60" spans="7:7" x14ac:dyDescent="0.3">
      <c r="G60" s="14"/>
    </row>
    <row r="61" spans="7:7" x14ac:dyDescent="0.3">
      <c r="G61" s="14"/>
    </row>
    <row r="62" spans="7:7" x14ac:dyDescent="0.3">
      <c r="G62" s="14"/>
    </row>
    <row r="63" spans="7:7" x14ac:dyDescent="0.3">
      <c r="G63" s="14"/>
    </row>
    <row r="64" spans="7:7" x14ac:dyDescent="0.3">
      <c r="G64" s="14"/>
    </row>
    <row r="65" spans="7:7" x14ac:dyDescent="0.3">
      <c r="G65" s="14"/>
    </row>
    <row r="66" spans="7:7" x14ac:dyDescent="0.3">
      <c r="G66" s="14"/>
    </row>
    <row r="67" spans="7:7" x14ac:dyDescent="0.3">
      <c r="G67" s="14"/>
    </row>
    <row r="68" spans="7:7" x14ac:dyDescent="0.3">
      <c r="G68" s="14"/>
    </row>
    <row r="69" spans="7:7" x14ac:dyDescent="0.3">
      <c r="G69" s="14"/>
    </row>
    <row r="70" spans="7:7" x14ac:dyDescent="0.3">
      <c r="G70" s="14"/>
    </row>
    <row r="71" spans="7:7" x14ac:dyDescent="0.3">
      <c r="G71" s="14"/>
    </row>
    <row r="72" spans="7:7" x14ac:dyDescent="0.3">
      <c r="G72" s="14"/>
    </row>
  </sheetData>
  <phoneticPr fontId="2" type="noConversion"/>
  <conditionalFormatting sqref="F6:F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{7F406CAB-3354-4495-B0DA-528AC8EF3CE6}</x14:id>
        </ext>
      </extLst>
    </cfRule>
  </conditionalFormatting>
  <conditionalFormatting sqref="I6:I25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{5DD170B2-4992-46C3-BD04-0BA6A2868941}</x14:id>
        </ext>
      </extLst>
    </cfRule>
  </conditionalFormatting>
  <conditionalFormatting sqref="I6:J25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{087E5825-7BD4-4021-AD81-757951FFDA1F}</x14:id>
        </ext>
      </extLst>
    </cfRule>
  </conditionalFormatting>
  <conditionalFormatting sqref="J6:J25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{4E6FF315-96AE-4EA9-91C7-BDC7F23DB29E}</x14:id>
        </ext>
      </extLst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406CAB-3354-4495-B0DA-528AC8EF3C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F6:F25</xm:sqref>
        </x14:conditionalFormatting>
        <x14:conditionalFormatting xmlns:xm="http://schemas.microsoft.com/office/excel/2006/main">
          <x14:cfRule type="dataBar" id="{5DD170B2-4992-46C3-BD04-0BA6A28689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I6:I25</xm:sqref>
        </x14:conditionalFormatting>
        <x14:conditionalFormatting xmlns:xm="http://schemas.microsoft.com/office/excel/2006/main">
          <x14:cfRule type="dataBar" id="{087E5825-7BD4-4021-AD81-757951FFDA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I6:J25</xm:sqref>
        </x14:conditionalFormatting>
        <x14:conditionalFormatting xmlns:xm="http://schemas.microsoft.com/office/excel/2006/main">
          <x14:cfRule type="dataBar" id="{4E6FF315-96AE-4EA9-91C7-BDC7F23DB2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J6:J25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179E3-ACC2-4A0E-9A15-CF0DA450B16E}">
  <dimension ref="A1:I996"/>
  <sheetViews>
    <sheetView topLeftCell="A244" zoomScaleNormal="100" workbookViewId="0">
      <selection activeCell="K257" sqref="K257"/>
    </sheetView>
  </sheetViews>
  <sheetFormatPr defaultRowHeight="14.4" x14ac:dyDescent="0.3"/>
  <cols>
    <col min="1" max="1" width="46.6640625" bestFit="1" customWidth="1"/>
    <col min="2" max="2" width="34.77734375" bestFit="1" customWidth="1"/>
    <col min="3" max="3" width="9.109375" bestFit="1" customWidth="1"/>
    <col min="4" max="4" width="11.109375" bestFit="1" customWidth="1"/>
    <col min="5" max="5" width="13.33203125" bestFit="1" customWidth="1"/>
    <col min="6" max="6" width="15.6640625" bestFit="1" customWidth="1"/>
    <col min="7" max="7" width="10.5546875" bestFit="1" customWidth="1"/>
    <col min="8" max="8" width="12.5546875" bestFit="1" customWidth="1"/>
    <col min="9" max="9" width="20.21875" bestFit="1" customWidth="1"/>
    <col min="11" max="11" width="32" bestFit="1" customWidth="1"/>
  </cols>
  <sheetData>
    <row r="1" spans="1:9" x14ac:dyDescent="0.3">
      <c r="A1" t="s">
        <v>13</v>
      </c>
      <c r="B1" t="s">
        <v>14</v>
      </c>
      <c r="C1" t="s">
        <v>4</v>
      </c>
      <c r="D1" t="s">
        <v>2</v>
      </c>
      <c r="E1" t="s">
        <v>5</v>
      </c>
      <c r="F1" t="s">
        <v>7</v>
      </c>
      <c r="G1" t="s">
        <v>3</v>
      </c>
      <c r="H1" t="s">
        <v>6</v>
      </c>
      <c r="I1" t="s">
        <v>8</v>
      </c>
    </row>
    <row r="2" spans="1:9" x14ac:dyDescent="0.3">
      <c r="A2" t="s">
        <v>944</v>
      </c>
      <c r="B2" t="s">
        <v>945</v>
      </c>
      <c r="C2">
        <v>1</v>
      </c>
      <c r="E2" s="12"/>
      <c r="F2" s="11">
        <f>RITable[[#This Row],[Price (1y)]]/RITable[[#This Row],[Ratio]]</f>
        <v>0</v>
      </c>
      <c r="H2" s="12"/>
      <c r="I2" s="10">
        <f>RITable[[#This Row],[Price (3y)]]/RITable[[#This Row],[Ratio]] / 3</f>
        <v>0</v>
      </c>
    </row>
    <row r="3" spans="1:9" x14ac:dyDescent="0.3">
      <c r="A3" t="s">
        <v>944</v>
      </c>
      <c r="B3" t="s">
        <v>946</v>
      </c>
      <c r="C3">
        <v>2</v>
      </c>
      <c r="E3" s="12"/>
      <c r="F3" s="11">
        <f>RITable[[#This Row],[Price (1y)]]/RITable[[#This Row],[Ratio]]</f>
        <v>0</v>
      </c>
      <c r="H3" s="12"/>
      <c r="I3" s="10">
        <f>RITable[[#This Row],[Price (3y)]]/RITable[[#This Row],[Ratio]] / 3</f>
        <v>0</v>
      </c>
    </row>
    <row r="4" spans="1:9" x14ac:dyDescent="0.3">
      <c r="A4" t="s">
        <v>944</v>
      </c>
      <c r="B4" t="s">
        <v>947</v>
      </c>
      <c r="C4">
        <v>4</v>
      </c>
      <c r="E4" s="12"/>
      <c r="F4" s="11">
        <f>RITable[[#This Row],[Price (1y)]]/RITable[[#This Row],[Ratio]]</f>
        <v>0</v>
      </c>
      <c r="H4" s="12"/>
      <c r="I4" s="10">
        <f>RITable[[#This Row],[Price (3y)]]/RITable[[#This Row],[Ratio]] / 3</f>
        <v>0</v>
      </c>
    </row>
    <row r="5" spans="1:9" x14ac:dyDescent="0.3">
      <c r="A5" t="s">
        <v>944</v>
      </c>
      <c r="B5" t="s">
        <v>948</v>
      </c>
      <c r="C5">
        <v>8</v>
      </c>
      <c r="E5" s="12"/>
      <c r="F5" s="11">
        <f>RITable[[#This Row],[Price (1y)]]/RITable[[#This Row],[Ratio]]</f>
        <v>0</v>
      </c>
      <c r="H5" s="12"/>
      <c r="I5" s="10">
        <f>RITable[[#This Row],[Price (3y)]]/RITable[[#This Row],[Ratio]] / 3</f>
        <v>0</v>
      </c>
    </row>
    <row r="6" spans="1:9" x14ac:dyDescent="0.3">
      <c r="A6" t="s">
        <v>949</v>
      </c>
      <c r="B6" t="s">
        <v>950</v>
      </c>
      <c r="C6">
        <v>1</v>
      </c>
      <c r="E6" s="12"/>
      <c r="F6" s="11">
        <f>RITable[[#This Row],[Price (1y)]]/RITable[[#This Row],[Ratio]]</f>
        <v>0</v>
      </c>
      <c r="H6" s="12"/>
      <c r="I6" s="10">
        <f>RITable[[#This Row],[Price (3y)]]/RITable[[#This Row],[Ratio]] / 3</f>
        <v>0</v>
      </c>
    </row>
    <row r="7" spans="1:9" x14ac:dyDescent="0.3">
      <c r="A7" t="s">
        <v>949</v>
      </c>
      <c r="B7" t="s">
        <v>951</v>
      </c>
      <c r="C7">
        <v>2</v>
      </c>
      <c r="E7" s="12"/>
      <c r="F7" s="11">
        <f>RITable[[#This Row],[Price (1y)]]/RITable[[#This Row],[Ratio]]</f>
        <v>0</v>
      </c>
      <c r="H7" s="12"/>
      <c r="I7" s="10">
        <f>RITable[[#This Row],[Price (3y)]]/RITable[[#This Row],[Ratio]] / 3</f>
        <v>0</v>
      </c>
    </row>
    <row r="8" spans="1:9" x14ac:dyDescent="0.3">
      <c r="A8" t="s">
        <v>949</v>
      </c>
      <c r="B8" t="s">
        <v>952</v>
      </c>
      <c r="C8">
        <v>4</v>
      </c>
      <c r="E8" s="12"/>
      <c r="F8" s="11">
        <f>RITable[[#This Row],[Price (1y)]]/RITable[[#This Row],[Ratio]]</f>
        <v>0</v>
      </c>
      <c r="H8" s="12"/>
      <c r="I8" s="10">
        <f>RITable[[#This Row],[Price (3y)]]/RITable[[#This Row],[Ratio]] / 3</f>
        <v>0</v>
      </c>
    </row>
    <row r="9" spans="1:9" x14ac:dyDescent="0.3">
      <c r="A9" t="s">
        <v>49</v>
      </c>
      <c r="B9" t="s">
        <v>50</v>
      </c>
      <c r="C9">
        <v>1</v>
      </c>
      <c r="E9" s="12"/>
      <c r="F9" s="11">
        <f>RITable[[#This Row],[Price (1y)]]/RITable[[#This Row],[Ratio]]</f>
        <v>0</v>
      </c>
      <c r="H9" s="12"/>
      <c r="I9" s="10">
        <f>RITable[[#This Row],[Price (3y)]]/RITable[[#This Row],[Ratio]] / 3</f>
        <v>0</v>
      </c>
    </row>
    <row r="10" spans="1:9" x14ac:dyDescent="0.3">
      <c r="A10" t="s">
        <v>49</v>
      </c>
      <c r="B10" t="s">
        <v>51</v>
      </c>
      <c r="C10">
        <v>2</v>
      </c>
      <c r="E10" s="12"/>
      <c r="F10" s="11">
        <f>RITable[[#This Row],[Price (1y)]]/RITable[[#This Row],[Ratio]]</f>
        <v>0</v>
      </c>
      <c r="H10" s="12"/>
      <c r="I10" s="10">
        <f>RITable[[#This Row],[Price (3y)]]/RITable[[#This Row],[Ratio]] / 3</f>
        <v>0</v>
      </c>
    </row>
    <row r="11" spans="1:9" x14ac:dyDescent="0.3">
      <c r="A11" t="s">
        <v>49</v>
      </c>
      <c r="B11" t="s">
        <v>52</v>
      </c>
      <c r="C11">
        <v>4</v>
      </c>
      <c r="E11" s="12"/>
      <c r="F11" s="11">
        <f>RITable[[#This Row],[Price (1y)]]/RITable[[#This Row],[Ratio]]</f>
        <v>0</v>
      </c>
      <c r="H11" s="12"/>
      <c r="I11" s="10">
        <f>RITable[[#This Row],[Price (3y)]]/RITable[[#This Row],[Ratio]] / 3</f>
        <v>0</v>
      </c>
    </row>
    <row r="12" spans="1:9" x14ac:dyDescent="0.3">
      <c r="A12" t="s">
        <v>49</v>
      </c>
      <c r="B12" t="s">
        <v>53</v>
      </c>
      <c r="C12">
        <v>8</v>
      </c>
      <c r="E12" s="12"/>
      <c r="F12" s="11">
        <f>RITable[[#This Row],[Price (1y)]]/RITable[[#This Row],[Ratio]]</f>
        <v>0</v>
      </c>
      <c r="H12" s="12"/>
      <c r="I12" s="10">
        <f>RITable[[#This Row],[Price (3y)]]/RITable[[#This Row],[Ratio]] / 3</f>
        <v>0</v>
      </c>
    </row>
    <row r="13" spans="1:9" x14ac:dyDescent="0.3">
      <c r="A13" t="s">
        <v>49</v>
      </c>
      <c r="B13" t="s">
        <v>953</v>
      </c>
      <c r="C13">
        <v>12</v>
      </c>
      <c r="E13" s="12"/>
      <c r="F13" s="11">
        <f>RITable[[#This Row],[Price (1y)]]/RITable[[#This Row],[Ratio]]</f>
        <v>0</v>
      </c>
      <c r="H13" s="12"/>
      <c r="I13" s="10">
        <f>RITable[[#This Row],[Price (3y)]]/RITable[[#This Row],[Ratio]] / 3</f>
        <v>0</v>
      </c>
    </row>
    <row r="14" spans="1:9" x14ac:dyDescent="0.3">
      <c r="A14" t="s">
        <v>49</v>
      </c>
      <c r="B14" t="s">
        <v>954</v>
      </c>
      <c r="C14">
        <v>16</v>
      </c>
      <c r="E14" s="12"/>
      <c r="F14" s="11">
        <f>RITable[[#This Row],[Price (1y)]]/RITable[[#This Row],[Ratio]]</f>
        <v>0</v>
      </c>
      <c r="H14" s="12"/>
      <c r="I14" s="10">
        <f>RITable[[#This Row],[Price (3y)]]/RITable[[#This Row],[Ratio]] / 3</f>
        <v>0</v>
      </c>
    </row>
    <row r="15" spans="1:9" x14ac:dyDescent="0.3">
      <c r="A15" t="s">
        <v>49</v>
      </c>
      <c r="B15" t="s">
        <v>955</v>
      </c>
      <c r="C15">
        <v>18</v>
      </c>
      <c r="E15" s="12"/>
      <c r="F15" s="11">
        <f>RITable[[#This Row],[Price (1y)]]/RITable[[#This Row],[Ratio]]</f>
        <v>0</v>
      </c>
      <c r="H15" s="12"/>
      <c r="I15" s="10">
        <f>RITable[[#This Row],[Price (3y)]]/RITable[[#This Row],[Ratio]] / 3</f>
        <v>0</v>
      </c>
    </row>
    <row r="16" spans="1:9" x14ac:dyDescent="0.3">
      <c r="A16" t="s">
        <v>54</v>
      </c>
      <c r="B16" t="s">
        <v>956</v>
      </c>
      <c r="C16">
        <v>1</v>
      </c>
      <c r="E16" s="12"/>
      <c r="F16" s="11">
        <f>RITable[[#This Row],[Price (1y)]]/RITable[[#This Row],[Ratio]]</f>
        <v>0</v>
      </c>
      <c r="H16" s="12"/>
      <c r="I16" s="10">
        <f>RITable[[#This Row],[Price (3y)]]/RITable[[#This Row],[Ratio]] / 3</f>
        <v>0</v>
      </c>
    </row>
    <row r="17" spans="1:9" x14ac:dyDescent="0.3">
      <c r="A17" t="s">
        <v>54</v>
      </c>
      <c r="B17" t="s">
        <v>957</v>
      </c>
      <c r="C17">
        <v>2</v>
      </c>
      <c r="E17" s="12"/>
      <c r="F17" s="11">
        <f>RITable[[#This Row],[Price (1y)]]/RITable[[#This Row],[Ratio]]</f>
        <v>0</v>
      </c>
      <c r="H17" s="12"/>
      <c r="I17" s="10">
        <f>RITable[[#This Row],[Price (3y)]]/RITable[[#This Row],[Ratio]] / 3</f>
        <v>0</v>
      </c>
    </row>
    <row r="18" spans="1:9" x14ac:dyDescent="0.3">
      <c r="A18" t="s">
        <v>54</v>
      </c>
      <c r="B18" t="s">
        <v>55</v>
      </c>
      <c r="C18">
        <v>4</v>
      </c>
      <c r="E18" s="12"/>
      <c r="F18" s="11">
        <f>RITable[[#This Row],[Price (1y)]]/RITable[[#This Row],[Ratio]]</f>
        <v>0</v>
      </c>
      <c r="H18" s="12"/>
      <c r="I18" s="10">
        <f>RITable[[#This Row],[Price (3y)]]/RITable[[#This Row],[Ratio]] / 3</f>
        <v>0</v>
      </c>
    </row>
    <row r="19" spans="1:9" x14ac:dyDescent="0.3">
      <c r="A19" t="s">
        <v>54</v>
      </c>
      <c r="B19" t="s">
        <v>56</v>
      </c>
      <c r="C19">
        <v>8</v>
      </c>
      <c r="E19" s="12"/>
      <c r="F19" s="11">
        <f>RITable[[#This Row],[Price (1y)]]/RITable[[#This Row],[Ratio]]</f>
        <v>0</v>
      </c>
      <c r="H19" s="12"/>
      <c r="I19" s="10">
        <f>RITable[[#This Row],[Price (3y)]]/RITable[[#This Row],[Ratio]] / 3</f>
        <v>0</v>
      </c>
    </row>
    <row r="20" spans="1:9" x14ac:dyDescent="0.3">
      <c r="A20" t="s">
        <v>54</v>
      </c>
      <c r="B20" t="s">
        <v>57</v>
      </c>
      <c r="C20">
        <v>16</v>
      </c>
      <c r="E20" s="12"/>
      <c r="F20" s="11">
        <f>RITable[[#This Row],[Price (1y)]]/RITable[[#This Row],[Ratio]]</f>
        <v>0</v>
      </c>
      <c r="H20" s="12"/>
      <c r="I20" s="10">
        <f>RITable[[#This Row],[Price (3y)]]/RITable[[#This Row],[Ratio]] / 3</f>
        <v>0</v>
      </c>
    </row>
    <row r="21" spans="1:9" x14ac:dyDescent="0.3">
      <c r="A21" t="s">
        <v>54</v>
      </c>
      <c r="B21" t="s">
        <v>958</v>
      </c>
      <c r="C21">
        <v>20</v>
      </c>
      <c r="E21" s="12"/>
      <c r="F21" s="11">
        <f>RITable[[#This Row],[Price (1y)]]/RITable[[#This Row],[Ratio]]</f>
        <v>0</v>
      </c>
      <c r="H21" s="12"/>
      <c r="I21" s="10">
        <f>RITable[[#This Row],[Price (3y)]]/RITable[[#This Row],[Ratio]] / 3</f>
        <v>0</v>
      </c>
    </row>
    <row r="22" spans="1:9" x14ac:dyDescent="0.3">
      <c r="A22" t="s">
        <v>54</v>
      </c>
      <c r="B22" t="s">
        <v>959</v>
      </c>
      <c r="C22">
        <v>24.02807018</v>
      </c>
      <c r="E22" s="12"/>
      <c r="F22" s="11">
        <f>RITable[[#This Row],[Price (1y)]]/RITable[[#This Row],[Ratio]]</f>
        <v>0</v>
      </c>
      <c r="H22" s="12"/>
      <c r="I22" s="10">
        <f>RITable[[#This Row],[Price (3y)]]/RITable[[#This Row],[Ratio]] / 3</f>
        <v>0</v>
      </c>
    </row>
    <row r="23" spans="1:9" x14ac:dyDescent="0.3">
      <c r="A23" t="s">
        <v>54</v>
      </c>
      <c r="B23" t="s">
        <v>58</v>
      </c>
      <c r="C23">
        <v>32</v>
      </c>
      <c r="E23" s="12"/>
      <c r="F23" s="11">
        <f>RITable[[#This Row],[Price (1y)]]/RITable[[#This Row],[Ratio]]</f>
        <v>0</v>
      </c>
      <c r="H23" s="12"/>
      <c r="I23" s="10">
        <f>RITable[[#This Row],[Price (3y)]]/RITable[[#This Row],[Ratio]] / 3</f>
        <v>0</v>
      </c>
    </row>
    <row r="24" spans="1:9" x14ac:dyDescent="0.3">
      <c r="A24" t="s">
        <v>54</v>
      </c>
      <c r="B24" t="s">
        <v>960</v>
      </c>
      <c r="C24">
        <v>48</v>
      </c>
      <c r="E24" s="12"/>
      <c r="F24" s="11">
        <f>RITable[[#This Row],[Price (1y)]]/RITable[[#This Row],[Ratio]]</f>
        <v>0</v>
      </c>
      <c r="H24" s="12"/>
      <c r="I24" s="10">
        <f>RITable[[#This Row],[Price (3y)]]/RITable[[#This Row],[Ratio]] / 3</f>
        <v>0</v>
      </c>
    </row>
    <row r="25" spans="1:9" x14ac:dyDescent="0.3">
      <c r="A25" t="s">
        <v>54</v>
      </c>
      <c r="B25" t="s">
        <v>961</v>
      </c>
      <c r="C25">
        <v>64</v>
      </c>
      <c r="E25" s="12"/>
      <c r="F25" s="11">
        <f>RITable[[#This Row],[Price (1y)]]/RITable[[#This Row],[Ratio]]</f>
        <v>0</v>
      </c>
      <c r="H25" s="12"/>
      <c r="I25" s="10">
        <f>RITable[[#This Row],[Price (3y)]]/RITable[[#This Row],[Ratio]] / 3</f>
        <v>0</v>
      </c>
    </row>
    <row r="26" spans="1:9" x14ac:dyDescent="0.3">
      <c r="A26" t="s">
        <v>54</v>
      </c>
      <c r="B26" t="s">
        <v>962</v>
      </c>
      <c r="C26">
        <v>96</v>
      </c>
      <c r="E26" s="12"/>
      <c r="F26" s="11">
        <f>RITable[[#This Row],[Price (1y)]]/RITable[[#This Row],[Ratio]]</f>
        <v>0</v>
      </c>
      <c r="H26" s="12"/>
      <c r="I26" s="10">
        <f>RITable[[#This Row],[Price (3y)]]/RITable[[#This Row],[Ratio]] / 3</f>
        <v>0</v>
      </c>
    </row>
    <row r="27" spans="1:9" x14ac:dyDescent="0.3">
      <c r="A27" t="s">
        <v>59</v>
      </c>
      <c r="B27" t="s">
        <v>963</v>
      </c>
      <c r="C27">
        <v>1</v>
      </c>
      <c r="E27" s="12"/>
      <c r="F27" s="11">
        <f>RITable[[#This Row],[Price (1y)]]/RITable[[#This Row],[Ratio]]</f>
        <v>0</v>
      </c>
      <c r="H27" s="12"/>
      <c r="I27" s="10">
        <f>RITable[[#This Row],[Price (3y)]]/RITable[[#This Row],[Ratio]] / 3</f>
        <v>0</v>
      </c>
    </row>
    <row r="28" spans="1:9" x14ac:dyDescent="0.3">
      <c r="A28" t="s">
        <v>59</v>
      </c>
      <c r="B28" t="s">
        <v>60</v>
      </c>
      <c r="C28">
        <v>2</v>
      </c>
      <c r="E28" s="12"/>
      <c r="F28" s="11">
        <f>RITable[[#This Row],[Price (1y)]]/RITable[[#This Row],[Ratio]]</f>
        <v>0</v>
      </c>
      <c r="H28" s="12"/>
      <c r="I28" s="10">
        <f>RITable[[#This Row],[Price (3y)]]/RITable[[#This Row],[Ratio]] / 3</f>
        <v>0</v>
      </c>
    </row>
    <row r="29" spans="1:9" x14ac:dyDescent="0.3">
      <c r="A29" t="s">
        <v>59</v>
      </c>
      <c r="B29" t="s">
        <v>61</v>
      </c>
      <c r="C29">
        <v>4</v>
      </c>
      <c r="E29" s="12"/>
      <c r="F29" s="11">
        <f>RITable[[#This Row],[Price (1y)]]/RITable[[#This Row],[Ratio]]</f>
        <v>0</v>
      </c>
      <c r="H29" s="12"/>
      <c r="I29" s="10">
        <f>RITable[[#This Row],[Price (3y)]]/RITable[[#This Row],[Ratio]] / 3</f>
        <v>0</v>
      </c>
    </row>
    <row r="30" spans="1:9" x14ac:dyDescent="0.3">
      <c r="A30" t="s">
        <v>59</v>
      </c>
      <c r="B30" t="s">
        <v>62</v>
      </c>
      <c r="C30">
        <v>8</v>
      </c>
      <c r="E30" s="12"/>
      <c r="F30" s="11">
        <f>RITable[[#This Row],[Price (1y)]]/RITable[[#This Row],[Ratio]]</f>
        <v>0</v>
      </c>
      <c r="H30" s="12"/>
      <c r="I30" s="10">
        <f>RITable[[#This Row],[Price (3y)]]/RITable[[#This Row],[Ratio]] / 3</f>
        <v>0</v>
      </c>
    </row>
    <row r="31" spans="1:9" x14ac:dyDescent="0.3">
      <c r="A31" t="s">
        <v>59</v>
      </c>
      <c r="B31" t="s">
        <v>964</v>
      </c>
      <c r="C31">
        <v>10</v>
      </c>
      <c r="E31" s="12"/>
      <c r="F31" s="11">
        <f>RITable[[#This Row],[Price (1y)]]/RITable[[#This Row],[Ratio]]</f>
        <v>0</v>
      </c>
      <c r="H31" s="12"/>
      <c r="I31" s="10">
        <f>RITable[[#This Row],[Price (3y)]]/RITable[[#This Row],[Ratio]] / 3</f>
        <v>0</v>
      </c>
    </row>
    <row r="32" spans="1:9" x14ac:dyDescent="0.3">
      <c r="A32" t="s">
        <v>59</v>
      </c>
      <c r="B32" t="s">
        <v>63</v>
      </c>
      <c r="C32">
        <v>16</v>
      </c>
      <c r="E32" s="12"/>
      <c r="F32" s="11">
        <f>RITable[[#This Row],[Price (1y)]]/RITable[[#This Row],[Ratio]]</f>
        <v>0</v>
      </c>
      <c r="H32" s="12"/>
      <c r="I32" s="10">
        <f>RITable[[#This Row],[Price (3y)]]/RITable[[#This Row],[Ratio]] / 3</f>
        <v>0</v>
      </c>
    </row>
    <row r="33" spans="1:9" x14ac:dyDescent="0.3">
      <c r="A33" t="s">
        <v>59</v>
      </c>
      <c r="B33" t="s">
        <v>965</v>
      </c>
      <c r="C33">
        <v>24</v>
      </c>
      <c r="E33" s="12"/>
      <c r="F33" s="11">
        <f>RITable[[#This Row],[Price (1y)]]/RITable[[#This Row],[Ratio]]</f>
        <v>0</v>
      </c>
      <c r="H33" s="12"/>
      <c r="I33" s="10">
        <f>RITable[[#This Row],[Price (3y)]]/RITable[[#This Row],[Ratio]] / 3</f>
        <v>0</v>
      </c>
    </row>
    <row r="34" spans="1:9" x14ac:dyDescent="0.3">
      <c r="A34" t="s">
        <v>59</v>
      </c>
      <c r="B34" t="s">
        <v>966</v>
      </c>
      <c r="C34">
        <v>32</v>
      </c>
      <c r="E34" s="12"/>
      <c r="F34" s="11">
        <f>RITable[[#This Row],[Price (1y)]]/RITable[[#This Row],[Ratio]]</f>
        <v>0</v>
      </c>
      <c r="H34" s="12"/>
      <c r="I34" s="10">
        <f>RITable[[#This Row],[Price (3y)]]/RITable[[#This Row],[Ratio]] / 3</f>
        <v>0</v>
      </c>
    </row>
    <row r="35" spans="1:9" x14ac:dyDescent="0.3">
      <c r="A35" t="s">
        <v>59</v>
      </c>
      <c r="B35" t="s">
        <v>967</v>
      </c>
      <c r="C35">
        <v>40</v>
      </c>
      <c r="E35" s="12"/>
      <c r="F35" s="11">
        <f>RITable[[#This Row],[Price (1y)]]/RITable[[#This Row],[Ratio]]</f>
        <v>0</v>
      </c>
      <c r="H35" s="12"/>
      <c r="I35" s="10">
        <f>RITable[[#This Row],[Price (3y)]]/RITable[[#This Row],[Ratio]] / 3</f>
        <v>0</v>
      </c>
    </row>
    <row r="36" spans="1:9" x14ac:dyDescent="0.3">
      <c r="A36" t="s">
        <v>59</v>
      </c>
      <c r="B36" t="s">
        <v>968</v>
      </c>
      <c r="C36">
        <v>48</v>
      </c>
      <c r="E36" s="12"/>
      <c r="F36" s="11">
        <f>RITable[[#This Row],[Price (1y)]]/RITable[[#This Row],[Ratio]]</f>
        <v>0</v>
      </c>
      <c r="H36" s="12"/>
      <c r="I36" s="10">
        <f>RITable[[#This Row],[Price (3y)]]/RITable[[#This Row],[Ratio]] / 3</f>
        <v>0</v>
      </c>
    </row>
    <row r="37" spans="1:9" x14ac:dyDescent="0.3">
      <c r="A37" t="s">
        <v>59</v>
      </c>
      <c r="B37" t="s">
        <v>969</v>
      </c>
      <c r="C37">
        <v>52</v>
      </c>
      <c r="E37" s="12"/>
      <c r="F37" s="11">
        <f>RITable[[#This Row],[Price (1y)]]/RITable[[#This Row],[Ratio]]</f>
        <v>0</v>
      </c>
      <c r="H37" s="12"/>
      <c r="I37" s="10">
        <f>RITable[[#This Row],[Price (3y)]]/RITable[[#This Row],[Ratio]] / 3</f>
        <v>0</v>
      </c>
    </row>
    <row r="38" spans="1:9" x14ac:dyDescent="0.3">
      <c r="A38" t="s">
        <v>59</v>
      </c>
      <c r="B38" t="s">
        <v>970</v>
      </c>
      <c r="C38">
        <v>64</v>
      </c>
      <c r="E38" s="12"/>
      <c r="F38" s="11">
        <f>RITable[[#This Row],[Price (1y)]]/RITable[[#This Row],[Ratio]]</f>
        <v>0</v>
      </c>
      <c r="H38" s="12"/>
      <c r="I38" s="10">
        <f>RITable[[#This Row],[Price (3y)]]/RITable[[#This Row],[Ratio]] / 3</f>
        <v>0</v>
      </c>
    </row>
    <row r="39" spans="1:9" x14ac:dyDescent="0.3">
      <c r="A39" t="s">
        <v>59</v>
      </c>
      <c r="B39" t="s">
        <v>971</v>
      </c>
      <c r="C39">
        <v>96</v>
      </c>
      <c r="E39" s="12"/>
      <c r="F39" s="11">
        <f>RITable[[#This Row],[Price (1y)]]/RITable[[#This Row],[Ratio]]</f>
        <v>0</v>
      </c>
      <c r="H39" s="12"/>
      <c r="I39" s="10">
        <f>RITable[[#This Row],[Price (3y)]]/RITable[[#This Row],[Ratio]] / 3</f>
        <v>0</v>
      </c>
    </row>
    <row r="40" spans="1:9" x14ac:dyDescent="0.3">
      <c r="A40" t="s">
        <v>64</v>
      </c>
      <c r="B40" t="s">
        <v>65</v>
      </c>
      <c r="C40">
        <v>1</v>
      </c>
      <c r="E40" s="12"/>
      <c r="F40" s="11">
        <f>RITable[[#This Row],[Price (1y)]]/RITable[[#This Row],[Ratio]]</f>
        <v>0</v>
      </c>
      <c r="H40" s="12"/>
      <c r="I40" s="10">
        <f>RITable[[#This Row],[Price (3y)]]/RITable[[#This Row],[Ratio]] / 3</f>
        <v>0</v>
      </c>
    </row>
    <row r="41" spans="1:9" x14ac:dyDescent="0.3">
      <c r="A41" t="s">
        <v>64</v>
      </c>
      <c r="B41" t="s">
        <v>66</v>
      </c>
      <c r="C41">
        <v>2</v>
      </c>
      <c r="E41" s="12"/>
      <c r="F41" s="11">
        <f>RITable[[#This Row],[Price (1y)]]/RITable[[#This Row],[Ratio]]</f>
        <v>0</v>
      </c>
      <c r="H41" s="12"/>
      <c r="I41" s="10">
        <f>RITable[[#This Row],[Price (3y)]]/RITable[[#This Row],[Ratio]] / 3</f>
        <v>0</v>
      </c>
    </row>
    <row r="42" spans="1:9" x14ac:dyDescent="0.3">
      <c r="A42" t="s">
        <v>64</v>
      </c>
      <c r="B42" t="s">
        <v>67</v>
      </c>
      <c r="C42">
        <v>4</v>
      </c>
      <c r="E42" s="12"/>
      <c r="F42" s="11">
        <f>RITable[[#This Row],[Price (1y)]]/RITable[[#This Row],[Ratio]]</f>
        <v>0</v>
      </c>
      <c r="H42" s="12"/>
      <c r="I42" s="10">
        <f>RITable[[#This Row],[Price (3y)]]/RITable[[#This Row],[Ratio]] / 3</f>
        <v>0</v>
      </c>
    </row>
    <row r="43" spans="1:9" x14ac:dyDescent="0.3">
      <c r="A43" t="s">
        <v>64</v>
      </c>
      <c r="B43" t="s">
        <v>68</v>
      </c>
      <c r="C43">
        <v>8</v>
      </c>
      <c r="E43" s="12"/>
      <c r="F43" s="11">
        <f>RITable[[#This Row],[Price (1y)]]/RITable[[#This Row],[Ratio]]</f>
        <v>0</v>
      </c>
      <c r="H43" s="12"/>
      <c r="I43" s="10">
        <f>RITable[[#This Row],[Price (3y)]]/RITable[[#This Row],[Ratio]] / 3</f>
        <v>0</v>
      </c>
    </row>
    <row r="44" spans="1:9" x14ac:dyDescent="0.3">
      <c r="A44" t="s">
        <v>64</v>
      </c>
      <c r="B44" t="s">
        <v>69</v>
      </c>
      <c r="C44">
        <v>15</v>
      </c>
      <c r="E44" s="12"/>
      <c r="F44" s="11">
        <f>RITable[[#This Row],[Price (1y)]]/RITable[[#This Row],[Ratio]]</f>
        <v>0</v>
      </c>
      <c r="H44" s="12"/>
      <c r="I44" s="10">
        <f>RITable[[#This Row],[Price (3y)]]/RITable[[#This Row],[Ratio]] / 3</f>
        <v>0</v>
      </c>
    </row>
    <row r="45" spans="1:9" x14ac:dyDescent="0.3">
      <c r="A45" t="s">
        <v>70</v>
      </c>
      <c r="B45" t="s">
        <v>71</v>
      </c>
      <c r="C45">
        <v>1</v>
      </c>
      <c r="E45" s="12"/>
      <c r="F45" s="11">
        <f>RITable[[#This Row],[Price (1y)]]/RITable[[#This Row],[Ratio]]</f>
        <v>0</v>
      </c>
      <c r="H45" s="12"/>
      <c r="I45" s="10">
        <f>RITable[[#This Row],[Price (3y)]]/RITable[[#This Row],[Ratio]] / 3</f>
        <v>0</v>
      </c>
    </row>
    <row r="46" spans="1:9" x14ac:dyDescent="0.3">
      <c r="A46" t="s">
        <v>70</v>
      </c>
      <c r="B46" t="s">
        <v>72</v>
      </c>
      <c r="C46">
        <v>2</v>
      </c>
      <c r="E46" s="12"/>
      <c r="F46" s="11">
        <f>RITable[[#This Row],[Price (1y)]]/RITable[[#This Row],[Ratio]]</f>
        <v>0</v>
      </c>
      <c r="H46" s="12"/>
      <c r="I46" s="10">
        <f>RITable[[#This Row],[Price (3y)]]/RITable[[#This Row],[Ratio]] / 3</f>
        <v>0</v>
      </c>
    </row>
    <row r="47" spans="1:9" x14ac:dyDescent="0.3">
      <c r="A47" t="s">
        <v>70</v>
      </c>
      <c r="B47" t="s">
        <v>73</v>
      </c>
      <c r="C47">
        <v>4</v>
      </c>
      <c r="E47" s="12"/>
      <c r="F47" s="11">
        <f>RITable[[#This Row],[Price (1y)]]/RITable[[#This Row],[Ratio]]</f>
        <v>0</v>
      </c>
      <c r="H47" s="12"/>
      <c r="I47" s="10">
        <f>RITable[[#This Row],[Price (3y)]]/RITable[[#This Row],[Ratio]] / 3</f>
        <v>0</v>
      </c>
    </row>
    <row r="48" spans="1:9" x14ac:dyDescent="0.3">
      <c r="A48" t="s">
        <v>74</v>
      </c>
      <c r="B48" t="s">
        <v>75</v>
      </c>
      <c r="C48">
        <v>1</v>
      </c>
      <c r="E48" s="12"/>
      <c r="F48" s="11">
        <f>RITable[[#This Row],[Price (1y)]]/RITable[[#This Row],[Ratio]]</f>
        <v>0</v>
      </c>
      <c r="H48" s="12"/>
      <c r="I48" s="10">
        <f>RITable[[#This Row],[Price (3y)]]/RITable[[#This Row],[Ratio]] / 3</f>
        <v>0</v>
      </c>
    </row>
    <row r="49" spans="1:9" x14ac:dyDescent="0.3">
      <c r="A49" t="s">
        <v>74</v>
      </c>
      <c r="B49" t="s">
        <v>76</v>
      </c>
      <c r="C49">
        <v>2</v>
      </c>
      <c r="E49" s="12"/>
      <c r="F49" s="11">
        <f>RITable[[#This Row],[Price (1y)]]/RITable[[#This Row],[Ratio]]</f>
        <v>0</v>
      </c>
      <c r="H49" s="12"/>
      <c r="I49" s="10">
        <f>RITable[[#This Row],[Price (3y)]]/RITable[[#This Row],[Ratio]] / 3</f>
        <v>0</v>
      </c>
    </row>
    <row r="50" spans="1:9" x14ac:dyDescent="0.3">
      <c r="A50" t="s">
        <v>74</v>
      </c>
      <c r="B50" t="s">
        <v>77</v>
      </c>
      <c r="C50">
        <v>4</v>
      </c>
      <c r="E50" s="12"/>
      <c r="F50" s="11">
        <f>RITable[[#This Row],[Price (1y)]]/RITable[[#This Row],[Ratio]]</f>
        <v>0</v>
      </c>
      <c r="H50" s="12"/>
      <c r="I50" s="10">
        <f>RITable[[#This Row],[Price (3y)]]/RITable[[#This Row],[Ratio]] / 3</f>
        <v>0</v>
      </c>
    </row>
    <row r="51" spans="1:9" x14ac:dyDescent="0.3">
      <c r="A51" t="s">
        <v>74</v>
      </c>
      <c r="B51" t="s">
        <v>78</v>
      </c>
      <c r="C51">
        <v>8</v>
      </c>
      <c r="E51" s="12"/>
      <c r="F51" s="11">
        <f>RITable[[#This Row],[Price (1y)]]/RITable[[#This Row],[Ratio]]</f>
        <v>0</v>
      </c>
      <c r="H51" s="12"/>
      <c r="I51" s="10">
        <f>RITable[[#This Row],[Price (3y)]]/RITable[[#This Row],[Ratio]] / 3</f>
        <v>0</v>
      </c>
    </row>
    <row r="52" spans="1:9" x14ac:dyDescent="0.3">
      <c r="A52" t="s">
        <v>74</v>
      </c>
      <c r="B52" t="s">
        <v>79</v>
      </c>
      <c r="C52">
        <v>18</v>
      </c>
      <c r="E52" s="12"/>
      <c r="F52" s="11">
        <f>RITable[[#This Row],[Price (1y)]]/RITable[[#This Row],[Ratio]]</f>
        <v>0</v>
      </c>
      <c r="H52" s="12"/>
      <c r="I52" s="10">
        <f>RITable[[#This Row],[Price (3y)]]/RITable[[#This Row],[Ratio]] / 3</f>
        <v>0</v>
      </c>
    </row>
    <row r="53" spans="1:9" x14ac:dyDescent="0.3">
      <c r="A53" t="s">
        <v>35</v>
      </c>
      <c r="B53" t="s">
        <v>80</v>
      </c>
      <c r="C53">
        <v>1</v>
      </c>
      <c r="E53" s="12"/>
      <c r="F53" s="11">
        <f>RITable[[#This Row],[Price (1y)]]/RITable[[#This Row],[Ratio]]</f>
        <v>0</v>
      </c>
      <c r="H53" s="12"/>
      <c r="I53" s="10">
        <f>RITable[[#This Row],[Price (3y)]]/RITable[[#This Row],[Ratio]] / 3</f>
        <v>0</v>
      </c>
    </row>
    <row r="54" spans="1:9" x14ac:dyDescent="0.3">
      <c r="A54" t="s">
        <v>35</v>
      </c>
      <c r="B54" t="s">
        <v>81</v>
      </c>
      <c r="C54">
        <v>2</v>
      </c>
      <c r="E54" s="12"/>
      <c r="F54" s="11">
        <f>RITable[[#This Row],[Price (1y)]]/RITable[[#This Row],[Ratio]]</f>
        <v>0</v>
      </c>
      <c r="H54" s="12"/>
      <c r="I54" s="10">
        <f>RITable[[#This Row],[Price (3y)]]/RITable[[#This Row],[Ratio]] / 3</f>
        <v>0</v>
      </c>
    </row>
    <row r="55" spans="1:9" x14ac:dyDescent="0.3">
      <c r="A55" t="s">
        <v>35</v>
      </c>
      <c r="B55" t="s">
        <v>82</v>
      </c>
      <c r="C55">
        <v>8</v>
      </c>
      <c r="E55" s="12"/>
      <c r="F55" s="11">
        <f>RITable[[#This Row],[Price (1y)]]/RITable[[#This Row],[Ratio]]</f>
        <v>0</v>
      </c>
      <c r="H55" s="12"/>
      <c r="I55" s="10">
        <f>RITable[[#This Row],[Price (3y)]]/RITable[[#This Row],[Ratio]] / 3</f>
        <v>0</v>
      </c>
    </row>
    <row r="56" spans="1:9" x14ac:dyDescent="0.3">
      <c r="A56" t="s">
        <v>36</v>
      </c>
      <c r="B56" t="s">
        <v>83</v>
      </c>
      <c r="C56">
        <v>1</v>
      </c>
      <c r="E56" s="12"/>
      <c r="F56" s="11">
        <f>RITable[[#This Row],[Price (1y)]]/RITable[[#This Row],[Ratio]]</f>
        <v>0</v>
      </c>
      <c r="H56" s="12"/>
      <c r="I56" s="10">
        <f>RITable[[#This Row],[Price (3y)]]/RITable[[#This Row],[Ratio]] / 3</f>
        <v>0</v>
      </c>
    </row>
    <row r="57" spans="1:9" x14ac:dyDescent="0.3">
      <c r="A57" t="s">
        <v>36</v>
      </c>
      <c r="B57" t="s">
        <v>84</v>
      </c>
      <c r="C57">
        <v>4</v>
      </c>
      <c r="E57" s="12"/>
      <c r="F57" s="11">
        <f>RITable[[#This Row],[Price (1y)]]/RITable[[#This Row],[Ratio]]</f>
        <v>0</v>
      </c>
      <c r="H57" s="12"/>
      <c r="I57" s="10">
        <f>RITable[[#This Row],[Price (3y)]]/RITable[[#This Row],[Ratio]] / 3</f>
        <v>0</v>
      </c>
    </row>
    <row r="58" spans="1:9" x14ac:dyDescent="0.3">
      <c r="A58" t="s">
        <v>36</v>
      </c>
      <c r="B58" t="s">
        <v>85</v>
      </c>
      <c r="C58">
        <v>8</v>
      </c>
      <c r="E58" s="12"/>
      <c r="F58" s="11">
        <f>RITable[[#This Row],[Price (1y)]]/RITable[[#This Row],[Ratio]]</f>
        <v>0</v>
      </c>
      <c r="H58" s="12"/>
      <c r="I58" s="10">
        <f>RITable[[#This Row],[Price (3y)]]/RITable[[#This Row],[Ratio]] / 3</f>
        <v>0</v>
      </c>
    </row>
    <row r="59" spans="1:9" x14ac:dyDescent="0.3">
      <c r="A59" t="s">
        <v>36</v>
      </c>
      <c r="B59" t="s">
        <v>86</v>
      </c>
      <c r="C59">
        <v>16</v>
      </c>
      <c r="E59" s="12"/>
      <c r="F59" s="11">
        <f>RITable[[#This Row],[Price (1y)]]/RITable[[#This Row],[Ratio]]</f>
        <v>0</v>
      </c>
      <c r="H59" s="12"/>
      <c r="I59" s="10">
        <f>RITable[[#This Row],[Price (3y)]]/RITable[[#This Row],[Ratio]] / 3</f>
        <v>0</v>
      </c>
    </row>
    <row r="60" spans="1:9" x14ac:dyDescent="0.3">
      <c r="A60" t="s">
        <v>36</v>
      </c>
      <c r="B60" t="s">
        <v>87</v>
      </c>
      <c r="C60">
        <v>24</v>
      </c>
      <c r="E60" s="12"/>
      <c r="F60" s="11">
        <f>RITable[[#This Row],[Price (1y)]]/RITable[[#This Row],[Ratio]]</f>
        <v>0</v>
      </c>
      <c r="H60" s="12"/>
      <c r="I60" s="10">
        <f>RITable[[#This Row],[Price (3y)]]/RITable[[#This Row],[Ratio]] / 3</f>
        <v>0</v>
      </c>
    </row>
    <row r="61" spans="1:9" x14ac:dyDescent="0.3">
      <c r="A61" t="s">
        <v>36</v>
      </c>
      <c r="B61" t="s">
        <v>88</v>
      </c>
      <c r="C61">
        <v>32</v>
      </c>
      <c r="E61" s="12"/>
      <c r="F61" s="11">
        <f>RITable[[#This Row],[Price (1y)]]/RITable[[#This Row],[Ratio]]</f>
        <v>0</v>
      </c>
      <c r="H61" s="12"/>
      <c r="I61" s="10">
        <f>RITable[[#This Row],[Price (3y)]]/RITable[[#This Row],[Ratio]] / 3</f>
        <v>0</v>
      </c>
    </row>
    <row r="62" spans="1:9" x14ac:dyDescent="0.3">
      <c r="A62" t="s">
        <v>36</v>
      </c>
      <c r="B62" t="s">
        <v>89</v>
      </c>
      <c r="C62">
        <v>40</v>
      </c>
      <c r="E62" s="12"/>
      <c r="F62" s="11">
        <f>RITable[[#This Row],[Price (1y)]]/RITable[[#This Row],[Ratio]]</f>
        <v>0</v>
      </c>
      <c r="H62" s="12"/>
      <c r="I62" s="10">
        <f>RITable[[#This Row],[Price (3y)]]/RITable[[#This Row],[Ratio]] / 3</f>
        <v>0</v>
      </c>
    </row>
    <row r="63" spans="1:9" x14ac:dyDescent="0.3">
      <c r="A63" t="s">
        <v>972</v>
      </c>
      <c r="B63" t="s">
        <v>973</v>
      </c>
      <c r="C63">
        <v>1</v>
      </c>
      <c r="E63" s="12"/>
      <c r="F63" s="11">
        <f>RITable[[#This Row],[Price (1y)]]/RITable[[#This Row],[Ratio]]</f>
        <v>0</v>
      </c>
      <c r="H63" s="12"/>
      <c r="I63" s="10">
        <f>RITable[[#This Row],[Price (3y)]]/RITable[[#This Row],[Ratio]] / 3</f>
        <v>0</v>
      </c>
    </row>
    <row r="64" spans="1:9" x14ac:dyDescent="0.3">
      <c r="A64" t="s">
        <v>972</v>
      </c>
      <c r="B64" t="s">
        <v>974</v>
      </c>
      <c r="C64">
        <v>1</v>
      </c>
      <c r="E64" s="12"/>
      <c r="F64" s="11">
        <f>RITable[[#This Row],[Price (1y)]]/RITable[[#This Row],[Ratio]]</f>
        <v>0</v>
      </c>
      <c r="H64" s="12"/>
      <c r="I64" s="10">
        <f>RITable[[#This Row],[Price (3y)]]/RITable[[#This Row],[Ratio]] / 3</f>
        <v>0</v>
      </c>
    </row>
    <row r="65" spans="1:9" x14ac:dyDescent="0.3">
      <c r="A65" t="s">
        <v>972</v>
      </c>
      <c r="B65" t="s">
        <v>975</v>
      </c>
      <c r="C65">
        <v>1</v>
      </c>
      <c r="E65" s="12"/>
      <c r="F65" s="11">
        <f>RITable[[#This Row],[Price (1y)]]/RITable[[#This Row],[Ratio]]</f>
        <v>0</v>
      </c>
      <c r="H65" s="12"/>
      <c r="I65" s="10">
        <f>RITable[[#This Row],[Price (3y)]]/RITable[[#This Row],[Ratio]] / 3</f>
        <v>0</v>
      </c>
    </row>
    <row r="66" spans="1:9" x14ac:dyDescent="0.3">
      <c r="A66" t="s">
        <v>972</v>
      </c>
      <c r="B66" t="s">
        <v>976</v>
      </c>
      <c r="C66">
        <v>2</v>
      </c>
      <c r="E66" s="12"/>
      <c r="F66" s="11">
        <f>RITable[[#This Row],[Price (1y)]]/RITable[[#This Row],[Ratio]]</f>
        <v>0</v>
      </c>
      <c r="H66" s="12"/>
      <c r="I66" s="10">
        <f>RITable[[#This Row],[Price (3y)]]/RITable[[#This Row],[Ratio]] / 3</f>
        <v>0</v>
      </c>
    </row>
    <row r="67" spans="1:9" x14ac:dyDescent="0.3">
      <c r="A67" t="s">
        <v>972</v>
      </c>
      <c r="B67" t="s">
        <v>977</v>
      </c>
      <c r="C67">
        <v>2</v>
      </c>
      <c r="E67" s="12"/>
      <c r="F67" s="11">
        <f>RITable[[#This Row],[Price (1y)]]/RITable[[#This Row],[Ratio]]</f>
        <v>0</v>
      </c>
      <c r="H67" s="12"/>
      <c r="I67" s="10">
        <f>RITable[[#This Row],[Price (3y)]]/RITable[[#This Row],[Ratio]] / 3</f>
        <v>0</v>
      </c>
    </row>
    <row r="68" spans="1:9" x14ac:dyDescent="0.3">
      <c r="A68" t="s">
        <v>972</v>
      </c>
      <c r="B68" t="s">
        <v>978</v>
      </c>
      <c r="C68">
        <v>4</v>
      </c>
      <c r="E68" s="12"/>
      <c r="F68" s="11">
        <f>RITable[[#This Row],[Price (1y)]]/RITable[[#This Row],[Ratio]]</f>
        <v>0</v>
      </c>
      <c r="H68" s="12"/>
      <c r="I68" s="10">
        <f>RITable[[#This Row],[Price (3y)]]/RITable[[#This Row],[Ratio]] / 3</f>
        <v>0</v>
      </c>
    </row>
    <row r="69" spans="1:9" x14ac:dyDescent="0.3">
      <c r="A69" t="s">
        <v>972</v>
      </c>
      <c r="B69" t="s">
        <v>979</v>
      </c>
      <c r="C69">
        <v>4</v>
      </c>
      <c r="E69" s="12"/>
      <c r="F69" s="11">
        <f>RITable[[#This Row],[Price (1y)]]/RITable[[#This Row],[Ratio]]</f>
        <v>0</v>
      </c>
      <c r="H69" s="12"/>
      <c r="I69" s="10">
        <f>RITable[[#This Row],[Price (3y)]]/RITable[[#This Row],[Ratio]] / 3</f>
        <v>0</v>
      </c>
    </row>
    <row r="70" spans="1:9" x14ac:dyDescent="0.3">
      <c r="A70" t="s">
        <v>972</v>
      </c>
      <c r="B70" t="s">
        <v>980</v>
      </c>
      <c r="C70">
        <v>8</v>
      </c>
      <c r="E70" s="12"/>
      <c r="F70" s="11">
        <f>RITable[[#This Row],[Price (1y)]]/RITable[[#This Row],[Ratio]]</f>
        <v>0</v>
      </c>
      <c r="H70" s="12"/>
      <c r="I70" s="10">
        <f>RITable[[#This Row],[Price (3y)]]/RITable[[#This Row],[Ratio]] / 3</f>
        <v>0</v>
      </c>
    </row>
    <row r="71" spans="1:9" x14ac:dyDescent="0.3">
      <c r="A71" t="s">
        <v>972</v>
      </c>
      <c r="B71" t="s">
        <v>981</v>
      </c>
      <c r="C71">
        <v>8</v>
      </c>
      <c r="E71" s="12"/>
      <c r="F71" s="11">
        <f>RITable[[#This Row],[Price (1y)]]/RITable[[#This Row],[Ratio]]</f>
        <v>0</v>
      </c>
      <c r="H71" s="12"/>
      <c r="I71" s="10">
        <f>RITable[[#This Row],[Price (3y)]]/RITable[[#This Row],[Ratio]] / 3</f>
        <v>0</v>
      </c>
    </row>
    <row r="72" spans="1:9" x14ac:dyDescent="0.3">
      <c r="A72" t="s">
        <v>972</v>
      </c>
      <c r="B72" t="s">
        <v>982</v>
      </c>
      <c r="C72">
        <v>16</v>
      </c>
      <c r="E72" s="12"/>
      <c r="F72" s="11">
        <f>RITable[[#This Row],[Price (1y)]]/RITable[[#This Row],[Ratio]]</f>
        <v>0</v>
      </c>
      <c r="H72" s="12"/>
      <c r="I72" s="10">
        <f>RITable[[#This Row],[Price (3y)]]/RITable[[#This Row],[Ratio]] / 3</f>
        <v>0</v>
      </c>
    </row>
    <row r="73" spans="1:9" x14ac:dyDescent="0.3">
      <c r="A73" t="s">
        <v>972</v>
      </c>
      <c r="B73" t="s">
        <v>983</v>
      </c>
      <c r="C73">
        <v>16</v>
      </c>
      <c r="E73" s="12"/>
      <c r="F73" s="11">
        <f>RITable[[#This Row],[Price (1y)]]/RITable[[#This Row],[Ratio]]</f>
        <v>0</v>
      </c>
      <c r="H73" s="12"/>
      <c r="I73" s="10">
        <f>RITable[[#This Row],[Price (3y)]]/RITable[[#This Row],[Ratio]] / 3</f>
        <v>0</v>
      </c>
    </row>
    <row r="74" spans="1:9" x14ac:dyDescent="0.3">
      <c r="A74" t="s">
        <v>984</v>
      </c>
      <c r="B74" t="s">
        <v>985</v>
      </c>
      <c r="C74">
        <v>1</v>
      </c>
      <c r="E74" s="12"/>
      <c r="F74" s="11">
        <f>RITable[[#This Row],[Price (1y)]]/RITable[[#This Row],[Ratio]]</f>
        <v>0</v>
      </c>
      <c r="H74" s="12"/>
      <c r="I74" s="10">
        <f>RITable[[#This Row],[Price (3y)]]/RITable[[#This Row],[Ratio]] / 3</f>
        <v>0</v>
      </c>
    </row>
    <row r="75" spans="1:9" x14ac:dyDescent="0.3">
      <c r="A75" t="s">
        <v>984</v>
      </c>
      <c r="B75" t="s">
        <v>986</v>
      </c>
      <c r="C75">
        <v>1</v>
      </c>
      <c r="E75" s="12"/>
      <c r="F75" s="11">
        <f>RITable[[#This Row],[Price (1y)]]/RITable[[#This Row],[Ratio]]</f>
        <v>0</v>
      </c>
      <c r="H75" s="12"/>
      <c r="I75" s="10">
        <f>RITable[[#This Row],[Price (3y)]]/RITable[[#This Row],[Ratio]] / 3</f>
        <v>0</v>
      </c>
    </row>
    <row r="76" spans="1:9" x14ac:dyDescent="0.3">
      <c r="A76" t="s">
        <v>984</v>
      </c>
      <c r="B76" t="s">
        <v>987</v>
      </c>
      <c r="C76">
        <v>1</v>
      </c>
      <c r="E76" s="12"/>
      <c r="F76" s="11">
        <f>RITable[[#This Row],[Price (1y)]]/RITable[[#This Row],[Ratio]]</f>
        <v>0</v>
      </c>
      <c r="H76" s="12"/>
      <c r="I76" s="10">
        <f>RITable[[#This Row],[Price (3y)]]/RITable[[#This Row],[Ratio]] / 3</f>
        <v>0</v>
      </c>
    </row>
    <row r="77" spans="1:9" x14ac:dyDescent="0.3">
      <c r="A77" t="s">
        <v>984</v>
      </c>
      <c r="B77" t="s">
        <v>988</v>
      </c>
      <c r="C77">
        <v>2</v>
      </c>
      <c r="E77" s="12"/>
      <c r="F77" s="11">
        <f>RITable[[#This Row],[Price (1y)]]/RITable[[#This Row],[Ratio]]</f>
        <v>0</v>
      </c>
      <c r="H77" s="12"/>
      <c r="I77" s="10">
        <f>RITable[[#This Row],[Price (3y)]]/RITable[[#This Row],[Ratio]] / 3</f>
        <v>0</v>
      </c>
    </row>
    <row r="78" spans="1:9" x14ac:dyDescent="0.3">
      <c r="A78" t="s">
        <v>984</v>
      </c>
      <c r="B78" t="s">
        <v>989</v>
      </c>
      <c r="C78">
        <v>2</v>
      </c>
      <c r="E78" s="12"/>
      <c r="F78" s="11">
        <f>RITable[[#This Row],[Price (1y)]]/RITable[[#This Row],[Ratio]]</f>
        <v>0</v>
      </c>
      <c r="H78" s="12"/>
      <c r="I78" s="10">
        <f>RITable[[#This Row],[Price (3y)]]/RITable[[#This Row],[Ratio]] / 3</f>
        <v>0</v>
      </c>
    </row>
    <row r="79" spans="1:9" x14ac:dyDescent="0.3">
      <c r="A79" t="s">
        <v>984</v>
      </c>
      <c r="B79" t="s">
        <v>990</v>
      </c>
      <c r="C79">
        <v>4</v>
      </c>
      <c r="E79" s="12"/>
      <c r="F79" s="11">
        <f>RITable[[#This Row],[Price (1y)]]/RITable[[#This Row],[Ratio]]</f>
        <v>0</v>
      </c>
      <c r="H79" s="12"/>
      <c r="I79" s="10">
        <f>RITable[[#This Row],[Price (3y)]]/RITable[[#This Row],[Ratio]] / 3</f>
        <v>0</v>
      </c>
    </row>
    <row r="80" spans="1:9" x14ac:dyDescent="0.3">
      <c r="A80" t="s">
        <v>984</v>
      </c>
      <c r="B80" t="s">
        <v>991</v>
      </c>
      <c r="C80">
        <v>4</v>
      </c>
      <c r="E80" s="12"/>
      <c r="F80" s="11">
        <f>RITable[[#This Row],[Price (1y)]]/RITable[[#This Row],[Ratio]]</f>
        <v>0</v>
      </c>
      <c r="H80" s="12"/>
      <c r="I80" s="10">
        <f>RITable[[#This Row],[Price (3y)]]/RITable[[#This Row],[Ratio]] / 3</f>
        <v>0</v>
      </c>
    </row>
    <row r="81" spans="1:9" x14ac:dyDescent="0.3">
      <c r="A81" t="s">
        <v>984</v>
      </c>
      <c r="B81" t="s">
        <v>992</v>
      </c>
      <c r="C81">
        <v>8</v>
      </c>
      <c r="E81" s="12"/>
      <c r="F81" s="11">
        <f>RITable[[#This Row],[Price (1y)]]/RITable[[#This Row],[Ratio]]</f>
        <v>0</v>
      </c>
      <c r="H81" s="12"/>
      <c r="I81" s="10">
        <f>RITable[[#This Row],[Price (3y)]]/RITable[[#This Row],[Ratio]] / 3</f>
        <v>0</v>
      </c>
    </row>
    <row r="82" spans="1:9" x14ac:dyDescent="0.3">
      <c r="A82" t="s">
        <v>984</v>
      </c>
      <c r="B82" t="s">
        <v>993</v>
      </c>
      <c r="C82">
        <v>8</v>
      </c>
      <c r="E82" s="12"/>
      <c r="F82" s="11">
        <f>RITable[[#This Row],[Price (1y)]]/RITable[[#This Row],[Ratio]]</f>
        <v>0</v>
      </c>
      <c r="H82" s="12"/>
      <c r="I82" s="10">
        <f>RITable[[#This Row],[Price (3y)]]/RITable[[#This Row],[Ratio]] / 3</f>
        <v>0</v>
      </c>
    </row>
    <row r="83" spans="1:9" x14ac:dyDescent="0.3">
      <c r="A83" t="s">
        <v>994</v>
      </c>
      <c r="B83" t="s">
        <v>995</v>
      </c>
      <c r="C83">
        <v>1</v>
      </c>
      <c r="E83" s="12"/>
      <c r="F83" s="11">
        <f>RITable[[#This Row],[Price (1y)]]/RITable[[#This Row],[Ratio]]</f>
        <v>0</v>
      </c>
      <c r="H83" s="12"/>
      <c r="I83" s="10">
        <f>RITable[[#This Row],[Price (3y)]]/RITable[[#This Row],[Ratio]] / 3</f>
        <v>0</v>
      </c>
    </row>
    <row r="84" spans="1:9" x14ac:dyDescent="0.3">
      <c r="A84" t="s">
        <v>994</v>
      </c>
      <c r="B84" t="s">
        <v>996</v>
      </c>
      <c r="C84">
        <v>1</v>
      </c>
      <c r="E84" s="12"/>
      <c r="F84" s="11">
        <f>RITable[[#This Row],[Price (1y)]]/RITable[[#This Row],[Ratio]]</f>
        <v>0</v>
      </c>
      <c r="H84" s="12"/>
      <c r="I84" s="10">
        <f>RITable[[#This Row],[Price (3y)]]/RITable[[#This Row],[Ratio]] / 3</f>
        <v>0</v>
      </c>
    </row>
    <row r="85" spans="1:9" x14ac:dyDescent="0.3">
      <c r="A85" t="s">
        <v>994</v>
      </c>
      <c r="B85" t="s">
        <v>997</v>
      </c>
      <c r="C85">
        <v>1</v>
      </c>
      <c r="E85" s="12"/>
      <c r="F85" s="11">
        <f>RITable[[#This Row],[Price (1y)]]/RITable[[#This Row],[Ratio]]</f>
        <v>0</v>
      </c>
      <c r="H85" s="12"/>
      <c r="I85" s="10">
        <f>RITable[[#This Row],[Price (3y)]]/RITable[[#This Row],[Ratio]] / 3</f>
        <v>0</v>
      </c>
    </row>
    <row r="86" spans="1:9" x14ac:dyDescent="0.3">
      <c r="A86" t="s">
        <v>994</v>
      </c>
      <c r="B86" t="s">
        <v>998</v>
      </c>
      <c r="C86">
        <v>2</v>
      </c>
      <c r="E86" s="12"/>
      <c r="F86" s="11">
        <f>RITable[[#This Row],[Price (1y)]]/RITable[[#This Row],[Ratio]]</f>
        <v>0</v>
      </c>
      <c r="H86" s="12"/>
      <c r="I86" s="10">
        <f>RITable[[#This Row],[Price (3y)]]/RITable[[#This Row],[Ratio]] / 3</f>
        <v>0</v>
      </c>
    </row>
    <row r="87" spans="1:9" x14ac:dyDescent="0.3">
      <c r="A87" t="s">
        <v>994</v>
      </c>
      <c r="B87" t="s">
        <v>999</v>
      </c>
      <c r="C87">
        <v>2</v>
      </c>
      <c r="E87" s="12"/>
      <c r="F87" s="11">
        <f>RITable[[#This Row],[Price (1y)]]/RITable[[#This Row],[Ratio]]</f>
        <v>0</v>
      </c>
      <c r="H87" s="12"/>
      <c r="I87" s="10">
        <f>RITable[[#This Row],[Price (3y)]]/RITable[[#This Row],[Ratio]] / 3</f>
        <v>0</v>
      </c>
    </row>
    <row r="88" spans="1:9" x14ac:dyDescent="0.3">
      <c r="A88" t="s">
        <v>994</v>
      </c>
      <c r="B88" t="s">
        <v>1000</v>
      </c>
      <c r="C88">
        <v>4</v>
      </c>
      <c r="E88" s="12"/>
      <c r="F88" s="11">
        <f>RITable[[#This Row],[Price (1y)]]/RITable[[#This Row],[Ratio]]</f>
        <v>0</v>
      </c>
      <c r="H88" s="12"/>
      <c r="I88" s="10">
        <f>RITable[[#This Row],[Price (3y)]]/RITable[[#This Row],[Ratio]] / 3</f>
        <v>0</v>
      </c>
    </row>
    <row r="89" spans="1:9" x14ac:dyDescent="0.3">
      <c r="A89" t="s">
        <v>994</v>
      </c>
      <c r="B89" t="s">
        <v>1001</v>
      </c>
      <c r="C89">
        <v>4</v>
      </c>
      <c r="E89" s="12"/>
      <c r="F89" s="11">
        <f>RITable[[#This Row],[Price (1y)]]/RITable[[#This Row],[Ratio]]</f>
        <v>0</v>
      </c>
      <c r="H89" s="12"/>
      <c r="I89" s="10">
        <f>RITable[[#This Row],[Price (3y)]]/RITable[[#This Row],[Ratio]] / 3</f>
        <v>0</v>
      </c>
    </row>
    <row r="90" spans="1:9" x14ac:dyDescent="0.3">
      <c r="A90" t="s">
        <v>994</v>
      </c>
      <c r="B90" t="s">
        <v>1002</v>
      </c>
      <c r="C90">
        <v>8</v>
      </c>
      <c r="E90" s="12"/>
      <c r="F90" s="11">
        <f>RITable[[#This Row],[Price (1y)]]/RITable[[#This Row],[Ratio]]</f>
        <v>0</v>
      </c>
      <c r="H90" s="12"/>
      <c r="I90" s="10">
        <f>RITable[[#This Row],[Price (3y)]]/RITable[[#This Row],[Ratio]] / 3</f>
        <v>0</v>
      </c>
    </row>
    <row r="91" spans="1:9" x14ac:dyDescent="0.3">
      <c r="A91" t="s">
        <v>994</v>
      </c>
      <c r="B91" t="s">
        <v>1003</v>
      </c>
      <c r="C91">
        <v>8</v>
      </c>
      <c r="E91" s="12"/>
      <c r="F91" s="11">
        <f>RITable[[#This Row],[Price (1y)]]/RITable[[#This Row],[Ratio]]</f>
        <v>0</v>
      </c>
      <c r="H91" s="12"/>
      <c r="I91" s="10">
        <f>RITable[[#This Row],[Price (3y)]]/RITable[[#This Row],[Ratio]] / 3</f>
        <v>0</v>
      </c>
    </row>
    <row r="92" spans="1:9" x14ac:dyDescent="0.3">
      <c r="A92" t="s">
        <v>994</v>
      </c>
      <c r="B92" t="s">
        <v>1004</v>
      </c>
      <c r="C92">
        <v>16</v>
      </c>
      <c r="E92" s="12"/>
      <c r="F92" s="11">
        <f>RITable[[#This Row],[Price (1y)]]/RITable[[#This Row],[Ratio]]</f>
        <v>0</v>
      </c>
      <c r="H92" s="12"/>
      <c r="I92" s="10">
        <f>RITable[[#This Row],[Price (3y)]]/RITable[[#This Row],[Ratio]] / 3</f>
        <v>0</v>
      </c>
    </row>
    <row r="93" spans="1:9" x14ac:dyDescent="0.3">
      <c r="A93" t="s">
        <v>994</v>
      </c>
      <c r="B93" t="s">
        <v>1005</v>
      </c>
      <c r="C93">
        <v>16</v>
      </c>
      <c r="E93" s="12"/>
      <c r="F93" s="11">
        <f>RITable[[#This Row],[Price (1y)]]/RITable[[#This Row],[Ratio]]</f>
        <v>0</v>
      </c>
      <c r="H93" s="12"/>
      <c r="I93" s="10">
        <f>RITable[[#This Row],[Price (3y)]]/RITable[[#This Row],[Ratio]] / 3</f>
        <v>0</v>
      </c>
    </row>
    <row r="94" spans="1:9" x14ac:dyDescent="0.3">
      <c r="A94" t="s">
        <v>90</v>
      </c>
      <c r="B94" t="s">
        <v>91</v>
      </c>
      <c r="C94">
        <v>1</v>
      </c>
      <c r="E94" s="12"/>
      <c r="F94" s="11">
        <f>RITable[[#This Row],[Price (1y)]]/RITable[[#This Row],[Ratio]]</f>
        <v>0</v>
      </c>
      <c r="H94" s="12"/>
      <c r="I94" s="10">
        <f>RITable[[#This Row],[Price (3y)]]/RITable[[#This Row],[Ratio]] / 3</f>
        <v>0</v>
      </c>
    </row>
    <row r="95" spans="1:9" x14ac:dyDescent="0.3">
      <c r="A95" t="s">
        <v>90</v>
      </c>
      <c r="B95" t="s">
        <v>92</v>
      </c>
      <c r="C95">
        <v>2</v>
      </c>
      <c r="E95" s="12"/>
      <c r="F95" s="11">
        <f>RITable[[#This Row],[Price (1y)]]/RITable[[#This Row],[Ratio]]</f>
        <v>0</v>
      </c>
      <c r="H95" s="12"/>
      <c r="I95" s="10">
        <f>RITable[[#This Row],[Price (3y)]]/RITable[[#This Row],[Ratio]] / 3</f>
        <v>0</v>
      </c>
    </row>
    <row r="96" spans="1:9" x14ac:dyDescent="0.3">
      <c r="A96" t="s">
        <v>90</v>
      </c>
      <c r="B96" t="s">
        <v>93</v>
      </c>
      <c r="C96">
        <v>4</v>
      </c>
      <c r="E96" s="12"/>
      <c r="F96" s="11">
        <f>RITable[[#This Row],[Price (1y)]]/RITable[[#This Row],[Ratio]]</f>
        <v>0</v>
      </c>
      <c r="H96" s="12"/>
      <c r="I96" s="10">
        <f>RITable[[#This Row],[Price (3y)]]/RITable[[#This Row],[Ratio]] / 3</f>
        <v>0</v>
      </c>
    </row>
    <row r="97" spans="1:9" x14ac:dyDescent="0.3">
      <c r="A97" t="s">
        <v>90</v>
      </c>
      <c r="B97" t="s">
        <v>94</v>
      </c>
      <c r="C97">
        <v>8</v>
      </c>
      <c r="E97" s="12"/>
      <c r="F97" s="11">
        <f>RITable[[#This Row],[Price (1y)]]/RITable[[#This Row],[Ratio]]</f>
        <v>0</v>
      </c>
      <c r="H97" s="12"/>
      <c r="I97" s="10">
        <f>RITable[[#This Row],[Price (3y)]]/RITable[[#This Row],[Ratio]] / 3</f>
        <v>0</v>
      </c>
    </row>
    <row r="98" spans="1:9" x14ac:dyDescent="0.3">
      <c r="A98" t="s">
        <v>95</v>
      </c>
      <c r="B98" t="s">
        <v>96</v>
      </c>
      <c r="C98">
        <v>1</v>
      </c>
      <c r="E98" s="12"/>
      <c r="F98" s="11">
        <f>RITable[[#This Row],[Price (1y)]]/RITable[[#This Row],[Ratio]]</f>
        <v>0</v>
      </c>
      <c r="H98" s="12"/>
      <c r="I98" s="10">
        <f>RITable[[#This Row],[Price (3y)]]/RITable[[#This Row],[Ratio]] / 3</f>
        <v>0</v>
      </c>
    </row>
    <row r="99" spans="1:9" x14ac:dyDescent="0.3">
      <c r="A99" t="s">
        <v>95</v>
      </c>
      <c r="B99" t="s">
        <v>97</v>
      </c>
      <c r="C99">
        <v>2</v>
      </c>
      <c r="E99" s="12"/>
      <c r="F99" s="11">
        <f>RITable[[#This Row],[Price (1y)]]/RITable[[#This Row],[Ratio]]</f>
        <v>0</v>
      </c>
      <c r="H99" s="12"/>
      <c r="I99" s="10">
        <f>RITable[[#This Row],[Price (3y)]]/RITable[[#This Row],[Ratio]] / 3</f>
        <v>0</v>
      </c>
    </row>
    <row r="100" spans="1:9" x14ac:dyDescent="0.3">
      <c r="A100" t="s">
        <v>95</v>
      </c>
      <c r="B100" t="s">
        <v>98</v>
      </c>
      <c r="C100">
        <v>4</v>
      </c>
      <c r="E100" s="12"/>
      <c r="F100" s="11">
        <f>RITable[[#This Row],[Price (1y)]]/RITable[[#This Row],[Ratio]]</f>
        <v>0</v>
      </c>
      <c r="H100" s="12"/>
      <c r="I100" s="10">
        <f>RITable[[#This Row],[Price (3y)]]/RITable[[#This Row],[Ratio]] / 3</f>
        <v>0</v>
      </c>
    </row>
    <row r="101" spans="1:9" x14ac:dyDescent="0.3">
      <c r="A101" t="s">
        <v>95</v>
      </c>
      <c r="B101" t="s">
        <v>99</v>
      </c>
      <c r="C101">
        <v>8</v>
      </c>
      <c r="E101" s="12"/>
      <c r="F101" s="11">
        <f>RITable[[#This Row],[Price (1y)]]/RITable[[#This Row],[Ratio]]</f>
        <v>0</v>
      </c>
      <c r="H101" s="12"/>
      <c r="I101" s="10">
        <f>RITable[[#This Row],[Price (3y)]]/RITable[[#This Row],[Ratio]] / 3</f>
        <v>0</v>
      </c>
    </row>
    <row r="102" spans="1:9" x14ac:dyDescent="0.3">
      <c r="A102" t="s">
        <v>100</v>
      </c>
      <c r="B102" t="s">
        <v>101</v>
      </c>
      <c r="C102">
        <v>1</v>
      </c>
      <c r="E102" s="12"/>
      <c r="F102" s="11">
        <f>RITable[[#This Row],[Price (1y)]]/RITable[[#This Row],[Ratio]]</f>
        <v>0</v>
      </c>
      <c r="H102" s="12"/>
      <c r="I102" s="10">
        <f>RITable[[#This Row],[Price (3y)]]/RITable[[#This Row],[Ratio]] / 3</f>
        <v>0</v>
      </c>
    </row>
    <row r="103" spans="1:9" x14ac:dyDescent="0.3">
      <c r="A103" t="s">
        <v>100</v>
      </c>
      <c r="B103" t="s">
        <v>102</v>
      </c>
      <c r="C103">
        <v>2</v>
      </c>
      <c r="E103" s="12"/>
      <c r="F103" s="11">
        <f>RITable[[#This Row],[Price (1y)]]/RITable[[#This Row],[Ratio]]</f>
        <v>0</v>
      </c>
      <c r="H103" s="12"/>
      <c r="I103" s="10">
        <f>RITable[[#This Row],[Price (3y)]]/RITable[[#This Row],[Ratio]] / 3</f>
        <v>0</v>
      </c>
    </row>
    <row r="104" spans="1:9" x14ac:dyDescent="0.3">
      <c r="A104" t="s">
        <v>100</v>
      </c>
      <c r="B104" t="s">
        <v>103</v>
      </c>
      <c r="C104">
        <v>4</v>
      </c>
      <c r="E104" s="12"/>
      <c r="F104" s="11">
        <f>RITable[[#This Row],[Price (1y)]]/RITable[[#This Row],[Ratio]]</f>
        <v>0</v>
      </c>
      <c r="H104" s="12"/>
      <c r="I104" s="10">
        <f>RITable[[#This Row],[Price (3y)]]/RITable[[#This Row],[Ratio]] / 3</f>
        <v>0</v>
      </c>
    </row>
    <row r="105" spans="1:9" x14ac:dyDescent="0.3">
      <c r="A105" t="s">
        <v>100</v>
      </c>
      <c r="B105" t="s">
        <v>104</v>
      </c>
      <c r="C105">
        <v>8</v>
      </c>
      <c r="E105" s="12"/>
      <c r="F105" s="11">
        <f>RITable[[#This Row],[Price (1y)]]/RITable[[#This Row],[Ratio]]</f>
        <v>0</v>
      </c>
      <c r="H105" s="12"/>
      <c r="I105" s="10">
        <f>RITable[[#This Row],[Price (3y)]]/RITable[[#This Row],[Ratio]] / 3</f>
        <v>0</v>
      </c>
    </row>
    <row r="106" spans="1:9" x14ac:dyDescent="0.3">
      <c r="A106" t="s">
        <v>1006</v>
      </c>
      <c r="B106" t="s">
        <v>1007</v>
      </c>
      <c r="C106">
        <v>1</v>
      </c>
      <c r="E106" s="12"/>
      <c r="F106" s="11">
        <f>RITable[[#This Row],[Price (1y)]]/RITable[[#This Row],[Ratio]]</f>
        <v>0</v>
      </c>
      <c r="H106" s="12"/>
      <c r="I106" s="10">
        <f>RITable[[#This Row],[Price (3y)]]/RITable[[#This Row],[Ratio]] / 3</f>
        <v>0</v>
      </c>
    </row>
    <row r="107" spans="1:9" x14ac:dyDescent="0.3">
      <c r="A107" t="s">
        <v>1008</v>
      </c>
      <c r="B107" t="s">
        <v>1009</v>
      </c>
      <c r="C107">
        <v>1</v>
      </c>
      <c r="E107" s="12"/>
      <c r="F107" s="11">
        <f>RITable[[#This Row],[Price (1y)]]/RITable[[#This Row],[Ratio]]</f>
        <v>0</v>
      </c>
      <c r="H107" s="12"/>
      <c r="I107" s="10">
        <f>RITable[[#This Row],[Price (3y)]]/RITable[[#This Row],[Ratio]] / 3</f>
        <v>0</v>
      </c>
    </row>
    <row r="108" spans="1:9" x14ac:dyDescent="0.3">
      <c r="A108" t="s">
        <v>1008</v>
      </c>
      <c r="B108" t="s">
        <v>1010</v>
      </c>
      <c r="C108">
        <v>2</v>
      </c>
      <c r="E108" s="12"/>
      <c r="F108" s="11">
        <f>RITable[[#This Row],[Price (1y)]]/RITable[[#This Row],[Ratio]]</f>
        <v>0</v>
      </c>
      <c r="H108" s="12"/>
      <c r="I108" s="10">
        <f>RITable[[#This Row],[Price (3y)]]/RITable[[#This Row],[Ratio]] / 3</f>
        <v>0</v>
      </c>
    </row>
    <row r="109" spans="1:9" x14ac:dyDescent="0.3">
      <c r="A109" t="s">
        <v>1008</v>
      </c>
      <c r="B109" t="s">
        <v>1011</v>
      </c>
      <c r="C109">
        <v>4</v>
      </c>
      <c r="E109" s="12"/>
      <c r="F109" s="11">
        <f>RITable[[#This Row],[Price (1y)]]/RITable[[#This Row],[Ratio]]</f>
        <v>0</v>
      </c>
      <c r="H109" s="12"/>
      <c r="I109" s="10">
        <f>RITable[[#This Row],[Price (3y)]]/RITable[[#This Row],[Ratio]] / 3</f>
        <v>0</v>
      </c>
    </row>
    <row r="110" spans="1:9" x14ac:dyDescent="0.3">
      <c r="A110" t="s">
        <v>1008</v>
      </c>
      <c r="B110" t="s">
        <v>1012</v>
      </c>
      <c r="C110">
        <v>8</v>
      </c>
      <c r="E110" s="12"/>
      <c r="F110" s="11">
        <f>RITable[[#This Row],[Price (1y)]]/RITable[[#This Row],[Ratio]]</f>
        <v>0</v>
      </c>
      <c r="H110" s="12"/>
      <c r="I110" s="10">
        <f>RITable[[#This Row],[Price (3y)]]/RITable[[#This Row],[Ratio]] / 3</f>
        <v>0</v>
      </c>
    </row>
    <row r="111" spans="1:9" x14ac:dyDescent="0.3">
      <c r="A111" t="s">
        <v>1008</v>
      </c>
      <c r="B111" t="s">
        <v>1013</v>
      </c>
      <c r="C111">
        <v>16</v>
      </c>
      <c r="E111" s="12"/>
      <c r="F111" s="11">
        <f>RITable[[#This Row],[Price (1y)]]/RITable[[#This Row],[Ratio]]</f>
        <v>0</v>
      </c>
      <c r="H111" s="12"/>
      <c r="I111" s="10">
        <f>RITable[[#This Row],[Price (3y)]]/RITable[[#This Row],[Ratio]] / 3</f>
        <v>0</v>
      </c>
    </row>
    <row r="112" spans="1:9" x14ac:dyDescent="0.3">
      <c r="A112" t="s">
        <v>1008</v>
      </c>
      <c r="B112" t="s">
        <v>1014</v>
      </c>
      <c r="C112">
        <v>24</v>
      </c>
      <c r="E112" s="12"/>
      <c r="F112" s="11">
        <f>RITable[[#This Row],[Price (1y)]]/RITable[[#This Row],[Ratio]]</f>
        <v>0</v>
      </c>
      <c r="H112" s="12"/>
      <c r="I112" s="10">
        <f>RITable[[#This Row],[Price (3y)]]/RITable[[#This Row],[Ratio]] / 3</f>
        <v>0</v>
      </c>
    </row>
    <row r="113" spans="1:9" x14ac:dyDescent="0.3">
      <c r="A113" t="s">
        <v>1008</v>
      </c>
      <c r="B113" t="s">
        <v>1015</v>
      </c>
      <c r="C113">
        <v>32</v>
      </c>
      <c r="E113" s="12"/>
      <c r="F113" s="11">
        <f>RITable[[#This Row],[Price (1y)]]/RITable[[#This Row],[Ratio]]</f>
        <v>0</v>
      </c>
      <c r="H113" s="12"/>
      <c r="I113" s="10">
        <f>RITable[[#This Row],[Price (3y)]]/RITable[[#This Row],[Ratio]] / 3</f>
        <v>0</v>
      </c>
    </row>
    <row r="114" spans="1:9" x14ac:dyDescent="0.3">
      <c r="A114" t="s">
        <v>1008</v>
      </c>
      <c r="B114" t="s">
        <v>1016</v>
      </c>
      <c r="C114">
        <v>48</v>
      </c>
      <c r="E114" s="12"/>
      <c r="F114" s="11">
        <f>RITable[[#This Row],[Price (1y)]]/RITable[[#This Row],[Ratio]]</f>
        <v>0</v>
      </c>
      <c r="H114" s="12"/>
      <c r="I114" s="10">
        <f>RITable[[#This Row],[Price (3y)]]/RITable[[#This Row],[Ratio]] / 3</f>
        <v>0</v>
      </c>
    </row>
    <row r="115" spans="1:9" x14ac:dyDescent="0.3">
      <c r="A115" t="s">
        <v>1017</v>
      </c>
      <c r="B115" t="s">
        <v>1018</v>
      </c>
      <c r="C115">
        <v>1</v>
      </c>
      <c r="E115" s="12"/>
      <c r="F115" s="11">
        <f>RITable[[#This Row],[Price (1y)]]/RITable[[#This Row],[Ratio]]</f>
        <v>0</v>
      </c>
      <c r="H115" s="12"/>
      <c r="I115" s="10">
        <f>RITable[[#This Row],[Price (3y)]]/RITable[[#This Row],[Ratio]] / 3</f>
        <v>0</v>
      </c>
    </row>
    <row r="116" spans="1:9" x14ac:dyDescent="0.3">
      <c r="A116" t="s">
        <v>1019</v>
      </c>
      <c r="B116" t="s">
        <v>1020</v>
      </c>
      <c r="C116">
        <v>1</v>
      </c>
      <c r="E116" s="12"/>
      <c r="F116" s="11">
        <f>RITable[[#This Row],[Price (1y)]]/RITable[[#This Row],[Ratio]]</f>
        <v>0</v>
      </c>
      <c r="H116" s="12"/>
      <c r="I116" s="10">
        <f>RITable[[#This Row],[Price (3y)]]/RITable[[#This Row],[Ratio]] / 3</f>
        <v>0</v>
      </c>
    </row>
    <row r="117" spans="1:9" x14ac:dyDescent="0.3">
      <c r="A117" t="s">
        <v>1019</v>
      </c>
      <c r="B117" t="s">
        <v>1021</v>
      </c>
      <c r="C117">
        <v>2</v>
      </c>
      <c r="E117" s="12"/>
      <c r="F117" s="11">
        <f>RITable[[#This Row],[Price (1y)]]/RITable[[#This Row],[Ratio]]</f>
        <v>0</v>
      </c>
      <c r="H117" s="12"/>
      <c r="I117" s="10">
        <f>RITable[[#This Row],[Price (3y)]]/RITable[[#This Row],[Ratio]] / 3</f>
        <v>0</v>
      </c>
    </row>
    <row r="118" spans="1:9" x14ac:dyDescent="0.3">
      <c r="A118" t="s">
        <v>1019</v>
      </c>
      <c r="B118" t="s">
        <v>1022</v>
      </c>
      <c r="C118">
        <v>4</v>
      </c>
      <c r="E118" s="12"/>
      <c r="F118" s="11">
        <f>RITable[[#This Row],[Price (1y)]]/RITable[[#This Row],[Ratio]]</f>
        <v>0</v>
      </c>
      <c r="H118" s="12"/>
      <c r="I118" s="10">
        <f>RITable[[#This Row],[Price (3y)]]/RITable[[#This Row],[Ratio]] / 3</f>
        <v>0</v>
      </c>
    </row>
    <row r="119" spans="1:9" x14ac:dyDescent="0.3">
      <c r="A119" t="s">
        <v>1019</v>
      </c>
      <c r="B119" t="s">
        <v>1023</v>
      </c>
      <c r="C119">
        <v>8</v>
      </c>
      <c r="E119" s="12"/>
      <c r="F119" s="11">
        <f>RITable[[#This Row],[Price (1y)]]/RITable[[#This Row],[Ratio]]</f>
        <v>0</v>
      </c>
      <c r="H119" s="12"/>
      <c r="I119" s="10">
        <f>RITable[[#This Row],[Price (3y)]]/RITable[[#This Row],[Ratio]] / 3</f>
        <v>0</v>
      </c>
    </row>
    <row r="120" spans="1:9" x14ac:dyDescent="0.3">
      <c r="A120" t="s">
        <v>1019</v>
      </c>
      <c r="B120" t="s">
        <v>1024</v>
      </c>
      <c r="C120">
        <v>16</v>
      </c>
      <c r="E120" s="12"/>
      <c r="F120" s="11">
        <f>RITable[[#This Row],[Price (1y)]]/RITable[[#This Row],[Ratio]]</f>
        <v>0</v>
      </c>
      <c r="H120" s="12"/>
      <c r="I120" s="10">
        <f>RITable[[#This Row],[Price (3y)]]/RITable[[#This Row],[Ratio]] / 3</f>
        <v>0</v>
      </c>
    </row>
    <row r="121" spans="1:9" x14ac:dyDescent="0.3">
      <c r="A121" t="s">
        <v>1019</v>
      </c>
      <c r="B121" t="s">
        <v>1025</v>
      </c>
      <c r="C121">
        <v>24</v>
      </c>
      <c r="E121" s="12"/>
      <c r="F121" s="11">
        <f>RITable[[#This Row],[Price (1y)]]/RITable[[#This Row],[Ratio]]</f>
        <v>0</v>
      </c>
      <c r="H121" s="12"/>
      <c r="I121" s="10">
        <f>RITable[[#This Row],[Price (3y)]]/RITable[[#This Row],[Ratio]] / 3</f>
        <v>0</v>
      </c>
    </row>
    <row r="122" spans="1:9" x14ac:dyDescent="0.3">
      <c r="A122" t="s">
        <v>1019</v>
      </c>
      <c r="B122" t="s">
        <v>1026</v>
      </c>
      <c r="C122">
        <v>32</v>
      </c>
      <c r="E122" s="12"/>
      <c r="F122" s="11">
        <f>RITable[[#This Row],[Price (1y)]]/RITable[[#This Row],[Ratio]]</f>
        <v>0</v>
      </c>
      <c r="H122" s="12"/>
      <c r="I122" s="10">
        <f>RITable[[#This Row],[Price (3y)]]/RITable[[#This Row],[Ratio]] / 3</f>
        <v>0</v>
      </c>
    </row>
    <row r="123" spans="1:9" x14ac:dyDescent="0.3">
      <c r="A123" t="s">
        <v>1019</v>
      </c>
      <c r="B123" t="s">
        <v>1027</v>
      </c>
      <c r="C123">
        <v>48</v>
      </c>
      <c r="E123" s="12"/>
      <c r="F123" s="11">
        <f>RITable[[#This Row],[Price (1y)]]/RITable[[#This Row],[Ratio]]</f>
        <v>0</v>
      </c>
      <c r="H123" s="12"/>
      <c r="I123" s="10">
        <f>RITable[[#This Row],[Price (3y)]]/RITable[[#This Row],[Ratio]] / 3</f>
        <v>0</v>
      </c>
    </row>
    <row r="124" spans="1:9" x14ac:dyDescent="0.3">
      <c r="A124" t="s">
        <v>1028</v>
      </c>
      <c r="B124" t="s">
        <v>1029</v>
      </c>
      <c r="C124">
        <v>1</v>
      </c>
      <c r="E124" s="12"/>
      <c r="F124" s="11">
        <f>RITable[[#This Row],[Price (1y)]]/RITable[[#This Row],[Ratio]]</f>
        <v>0</v>
      </c>
      <c r="H124" s="12"/>
      <c r="I124" s="10">
        <f>RITable[[#This Row],[Price (3y)]]/RITable[[#This Row],[Ratio]] / 3</f>
        <v>0</v>
      </c>
    </row>
    <row r="125" spans="1:9" x14ac:dyDescent="0.3">
      <c r="A125" t="s">
        <v>105</v>
      </c>
      <c r="B125" t="s">
        <v>106</v>
      </c>
      <c r="C125">
        <v>1</v>
      </c>
      <c r="E125" s="12"/>
      <c r="F125" s="11">
        <f>RITable[[#This Row],[Price (1y)]]/RITable[[#This Row],[Ratio]]</f>
        <v>0</v>
      </c>
      <c r="H125" s="12"/>
      <c r="I125" s="10">
        <f>RITable[[#This Row],[Price (3y)]]/RITable[[#This Row],[Ratio]] / 3</f>
        <v>0</v>
      </c>
    </row>
    <row r="126" spans="1:9" x14ac:dyDescent="0.3">
      <c r="A126" t="s">
        <v>105</v>
      </c>
      <c r="B126" t="s">
        <v>107</v>
      </c>
      <c r="C126">
        <v>2</v>
      </c>
      <c r="E126" s="12"/>
      <c r="F126" s="11">
        <f>RITable[[#This Row],[Price (1y)]]/RITable[[#This Row],[Ratio]]</f>
        <v>0</v>
      </c>
      <c r="H126" s="12"/>
      <c r="I126" s="10">
        <f>RITable[[#This Row],[Price (3y)]]/RITable[[#This Row],[Ratio]] / 3</f>
        <v>0</v>
      </c>
    </row>
    <row r="127" spans="1:9" x14ac:dyDescent="0.3">
      <c r="A127" t="s">
        <v>105</v>
      </c>
      <c r="B127" t="s">
        <v>108</v>
      </c>
      <c r="C127">
        <v>4</v>
      </c>
      <c r="E127" s="12"/>
      <c r="F127" s="11">
        <f>RITable[[#This Row],[Price (1y)]]/RITable[[#This Row],[Ratio]]</f>
        <v>0</v>
      </c>
      <c r="H127" s="12"/>
      <c r="I127" s="10">
        <f>RITable[[#This Row],[Price (3y)]]/RITable[[#This Row],[Ratio]] / 3</f>
        <v>0</v>
      </c>
    </row>
    <row r="128" spans="1:9" x14ac:dyDescent="0.3">
      <c r="A128" t="s">
        <v>105</v>
      </c>
      <c r="B128" t="s">
        <v>109</v>
      </c>
      <c r="C128">
        <v>8</v>
      </c>
      <c r="E128" s="12"/>
      <c r="F128" s="11">
        <f>RITable[[#This Row],[Price (1y)]]/RITable[[#This Row],[Ratio]]</f>
        <v>0</v>
      </c>
      <c r="H128" s="12"/>
      <c r="I128" s="10">
        <f>RITable[[#This Row],[Price (3y)]]/RITable[[#This Row],[Ratio]] / 3</f>
        <v>0</v>
      </c>
    </row>
    <row r="129" spans="1:9" x14ac:dyDescent="0.3">
      <c r="A129" t="s">
        <v>105</v>
      </c>
      <c r="B129" t="s">
        <v>110</v>
      </c>
      <c r="C129">
        <v>16</v>
      </c>
      <c r="E129" s="12"/>
      <c r="F129" s="11">
        <f>RITable[[#This Row],[Price (1y)]]/RITable[[#This Row],[Ratio]]</f>
        <v>0</v>
      </c>
      <c r="H129" s="12"/>
      <c r="I129" s="10">
        <f>RITable[[#This Row],[Price (3y)]]/RITable[[#This Row],[Ratio]] / 3</f>
        <v>0</v>
      </c>
    </row>
    <row r="130" spans="1:9" x14ac:dyDescent="0.3">
      <c r="A130" t="s">
        <v>105</v>
      </c>
      <c r="B130" t="s">
        <v>111</v>
      </c>
      <c r="C130">
        <v>24</v>
      </c>
      <c r="E130" s="12"/>
      <c r="F130" s="11">
        <f>RITable[[#This Row],[Price (1y)]]/RITable[[#This Row],[Ratio]]</f>
        <v>0</v>
      </c>
      <c r="H130" s="12"/>
      <c r="I130" s="10">
        <f>RITable[[#This Row],[Price (3y)]]/RITable[[#This Row],[Ratio]] / 3</f>
        <v>0</v>
      </c>
    </row>
    <row r="131" spans="1:9" x14ac:dyDescent="0.3">
      <c r="A131" t="s">
        <v>105</v>
      </c>
      <c r="B131" t="s">
        <v>112</v>
      </c>
      <c r="C131">
        <v>32</v>
      </c>
      <c r="E131" s="12"/>
      <c r="F131" s="11">
        <f>RITable[[#This Row],[Price (1y)]]/RITable[[#This Row],[Ratio]]</f>
        <v>0</v>
      </c>
      <c r="H131" s="12"/>
      <c r="I131" s="10">
        <f>RITable[[#This Row],[Price (3y)]]/RITable[[#This Row],[Ratio]] / 3</f>
        <v>0</v>
      </c>
    </row>
    <row r="132" spans="1:9" x14ac:dyDescent="0.3">
      <c r="A132" t="s">
        <v>105</v>
      </c>
      <c r="B132" t="s">
        <v>113</v>
      </c>
      <c r="C132">
        <v>48</v>
      </c>
      <c r="E132" s="12"/>
      <c r="F132" s="11">
        <f>RITable[[#This Row],[Price (1y)]]/RITable[[#This Row],[Ratio]]</f>
        <v>0</v>
      </c>
      <c r="H132" s="12"/>
      <c r="I132" s="10">
        <f>RITable[[#This Row],[Price (3y)]]/RITable[[#This Row],[Ratio]] / 3</f>
        <v>0</v>
      </c>
    </row>
    <row r="133" spans="1:9" x14ac:dyDescent="0.3">
      <c r="A133" t="s">
        <v>1030</v>
      </c>
      <c r="B133" t="s">
        <v>1031</v>
      </c>
      <c r="C133">
        <v>1</v>
      </c>
      <c r="E133" s="12"/>
      <c r="F133" s="11">
        <f>RITable[[#This Row],[Price (1y)]]/RITable[[#This Row],[Ratio]]</f>
        <v>0</v>
      </c>
      <c r="H133" s="12"/>
      <c r="I133" s="10">
        <f>RITable[[#This Row],[Price (3y)]]/RITable[[#This Row],[Ratio]] / 3</f>
        <v>0</v>
      </c>
    </row>
    <row r="134" spans="1:9" x14ac:dyDescent="0.3">
      <c r="A134" t="s">
        <v>1032</v>
      </c>
      <c r="B134" t="s">
        <v>1033</v>
      </c>
      <c r="C134">
        <v>1</v>
      </c>
      <c r="E134" s="12"/>
      <c r="F134" s="11">
        <f>RITable[[#This Row],[Price (1y)]]/RITable[[#This Row],[Ratio]]</f>
        <v>0</v>
      </c>
      <c r="H134" s="12"/>
      <c r="I134" s="10">
        <f>RITable[[#This Row],[Price (3y)]]/RITable[[#This Row],[Ratio]] / 3</f>
        <v>0</v>
      </c>
    </row>
    <row r="135" spans="1:9" x14ac:dyDescent="0.3">
      <c r="A135" t="s">
        <v>114</v>
      </c>
      <c r="B135" t="s">
        <v>115</v>
      </c>
      <c r="C135">
        <v>1</v>
      </c>
      <c r="E135" s="12"/>
      <c r="F135" s="11">
        <f>RITable[[#This Row],[Price (1y)]]/RITable[[#This Row],[Ratio]]</f>
        <v>0</v>
      </c>
      <c r="H135" s="12"/>
      <c r="I135" s="10">
        <f>RITable[[#This Row],[Price (3y)]]/RITable[[#This Row],[Ratio]] / 3</f>
        <v>0</v>
      </c>
    </row>
    <row r="136" spans="1:9" x14ac:dyDescent="0.3">
      <c r="A136" t="s">
        <v>114</v>
      </c>
      <c r="B136" t="s">
        <v>116</v>
      </c>
      <c r="C136">
        <v>2</v>
      </c>
      <c r="E136" s="12"/>
      <c r="F136" s="11">
        <f>RITable[[#This Row],[Price (1y)]]/RITable[[#This Row],[Ratio]]</f>
        <v>0</v>
      </c>
      <c r="H136" s="12"/>
      <c r="I136" s="10">
        <f>RITable[[#This Row],[Price (3y)]]/RITable[[#This Row],[Ratio]] / 3</f>
        <v>0</v>
      </c>
    </row>
    <row r="137" spans="1:9" x14ac:dyDescent="0.3">
      <c r="A137" t="s">
        <v>114</v>
      </c>
      <c r="B137" t="s">
        <v>117</v>
      </c>
      <c r="C137">
        <v>4</v>
      </c>
      <c r="E137" s="12"/>
      <c r="F137" s="11">
        <f>RITable[[#This Row],[Price (1y)]]/RITable[[#This Row],[Ratio]]</f>
        <v>0</v>
      </c>
      <c r="H137" s="12"/>
      <c r="I137" s="10">
        <f>RITable[[#This Row],[Price (3y)]]/RITable[[#This Row],[Ratio]] / 3</f>
        <v>0</v>
      </c>
    </row>
    <row r="138" spans="1:9" x14ac:dyDescent="0.3">
      <c r="A138" t="s">
        <v>114</v>
      </c>
      <c r="B138" t="s">
        <v>118</v>
      </c>
      <c r="C138">
        <v>8</v>
      </c>
      <c r="E138" s="12"/>
      <c r="F138" s="11">
        <f>RITable[[#This Row],[Price (1y)]]/RITable[[#This Row],[Ratio]]</f>
        <v>0</v>
      </c>
      <c r="H138" s="12"/>
      <c r="I138" s="10">
        <f>RITable[[#This Row],[Price (3y)]]/RITable[[#This Row],[Ratio]] / 3</f>
        <v>0</v>
      </c>
    </row>
    <row r="139" spans="1:9" x14ac:dyDescent="0.3">
      <c r="A139" t="s">
        <v>114</v>
      </c>
      <c r="B139" t="s">
        <v>119</v>
      </c>
      <c r="C139">
        <v>16</v>
      </c>
      <c r="E139" s="12"/>
      <c r="F139" s="11">
        <f>RITable[[#This Row],[Price (1y)]]/RITable[[#This Row],[Ratio]]</f>
        <v>0</v>
      </c>
      <c r="H139" s="12"/>
      <c r="I139" s="10">
        <f>RITable[[#This Row],[Price (3y)]]/RITable[[#This Row],[Ratio]] / 3</f>
        <v>0</v>
      </c>
    </row>
    <row r="140" spans="1:9" x14ac:dyDescent="0.3">
      <c r="A140" t="s">
        <v>114</v>
      </c>
      <c r="B140" t="s">
        <v>120</v>
      </c>
      <c r="C140">
        <v>24</v>
      </c>
      <c r="E140" s="12"/>
      <c r="F140" s="11">
        <f>RITable[[#This Row],[Price (1y)]]/RITable[[#This Row],[Ratio]]</f>
        <v>0</v>
      </c>
      <c r="H140" s="12"/>
      <c r="I140" s="10">
        <f>RITable[[#This Row],[Price (3y)]]/RITable[[#This Row],[Ratio]] / 3</f>
        <v>0</v>
      </c>
    </row>
    <row r="141" spans="1:9" x14ac:dyDescent="0.3">
      <c r="A141" t="s">
        <v>114</v>
      </c>
      <c r="B141" t="s">
        <v>121</v>
      </c>
      <c r="C141">
        <v>32</v>
      </c>
      <c r="E141" s="12"/>
      <c r="F141" s="11">
        <f>RITable[[#This Row],[Price (1y)]]/RITable[[#This Row],[Ratio]]</f>
        <v>0</v>
      </c>
      <c r="H141" s="12"/>
      <c r="I141" s="10">
        <f>RITable[[#This Row],[Price (3y)]]/RITable[[#This Row],[Ratio]] / 3</f>
        <v>0</v>
      </c>
    </row>
    <row r="142" spans="1:9" x14ac:dyDescent="0.3">
      <c r="A142" t="s">
        <v>114</v>
      </c>
      <c r="B142" t="s">
        <v>122</v>
      </c>
      <c r="C142">
        <v>48</v>
      </c>
      <c r="E142" s="12"/>
      <c r="F142" s="11">
        <f>RITable[[#This Row],[Price (1y)]]/RITable[[#This Row],[Ratio]]</f>
        <v>0</v>
      </c>
      <c r="H142" s="12"/>
      <c r="I142" s="10">
        <f>RITable[[#This Row],[Price (3y)]]/RITable[[#This Row],[Ratio]] / 3</f>
        <v>0</v>
      </c>
    </row>
    <row r="143" spans="1:9" x14ac:dyDescent="0.3">
      <c r="A143" t="s">
        <v>123</v>
      </c>
      <c r="B143" t="s">
        <v>124</v>
      </c>
      <c r="C143">
        <v>1</v>
      </c>
      <c r="E143" s="12"/>
      <c r="F143" s="11">
        <f>RITable[[#This Row],[Price (1y)]]/RITable[[#This Row],[Ratio]]</f>
        <v>0</v>
      </c>
      <c r="H143" s="12"/>
      <c r="I143" s="10">
        <f>RITable[[#This Row],[Price (3y)]]/RITable[[#This Row],[Ratio]] / 3</f>
        <v>0</v>
      </c>
    </row>
    <row r="144" spans="1:9" x14ac:dyDescent="0.3">
      <c r="A144" t="s">
        <v>123</v>
      </c>
      <c r="B144" t="s">
        <v>125</v>
      </c>
      <c r="C144">
        <v>2</v>
      </c>
      <c r="E144" s="12"/>
      <c r="F144" s="11">
        <f>RITable[[#This Row],[Price (1y)]]/RITable[[#This Row],[Ratio]]</f>
        <v>0</v>
      </c>
      <c r="H144" s="12"/>
      <c r="I144" s="10">
        <f>RITable[[#This Row],[Price (3y)]]/RITable[[#This Row],[Ratio]] / 3</f>
        <v>0</v>
      </c>
    </row>
    <row r="145" spans="1:9" x14ac:dyDescent="0.3">
      <c r="A145" t="s">
        <v>123</v>
      </c>
      <c r="B145" t="s">
        <v>126</v>
      </c>
      <c r="C145">
        <v>4</v>
      </c>
      <c r="E145" s="12"/>
      <c r="F145" s="11">
        <f>RITable[[#This Row],[Price (1y)]]/RITable[[#This Row],[Ratio]]</f>
        <v>0</v>
      </c>
      <c r="H145" s="12"/>
      <c r="I145" s="10">
        <f>RITable[[#This Row],[Price (3y)]]/RITable[[#This Row],[Ratio]] / 3</f>
        <v>0</v>
      </c>
    </row>
    <row r="146" spans="1:9" x14ac:dyDescent="0.3">
      <c r="A146" t="s">
        <v>123</v>
      </c>
      <c r="B146" t="s">
        <v>127</v>
      </c>
      <c r="C146">
        <v>8</v>
      </c>
      <c r="E146" s="12"/>
      <c r="F146" s="11">
        <f>RITable[[#This Row],[Price (1y)]]/RITable[[#This Row],[Ratio]]</f>
        <v>0</v>
      </c>
      <c r="H146" s="12"/>
      <c r="I146" s="10">
        <f>RITable[[#This Row],[Price (3y)]]/RITable[[#This Row],[Ratio]] / 3</f>
        <v>0</v>
      </c>
    </row>
    <row r="147" spans="1:9" x14ac:dyDescent="0.3">
      <c r="A147" t="s">
        <v>128</v>
      </c>
      <c r="B147" t="s">
        <v>129</v>
      </c>
      <c r="C147">
        <v>1</v>
      </c>
      <c r="E147" s="12"/>
      <c r="F147" s="11">
        <f>RITable[[#This Row],[Price (1y)]]/RITable[[#This Row],[Ratio]]</f>
        <v>0</v>
      </c>
      <c r="H147" s="12"/>
      <c r="I147" s="10">
        <f>RITable[[#This Row],[Price (3y)]]/RITable[[#This Row],[Ratio]] / 3</f>
        <v>0</v>
      </c>
    </row>
    <row r="148" spans="1:9" x14ac:dyDescent="0.3">
      <c r="A148" t="s">
        <v>128</v>
      </c>
      <c r="B148" t="s">
        <v>130</v>
      </c>
      <c r="C148">
        <v>2</v>
      </c>
      <c r="E148" s="12"/>
      <c r="F148" s="11">
        <f>RITable[[#This Row],[Price (1y)]]/RITable[[#This Row],[Ratio]]</f>
        <v>0</v>
      </c>
      <c r="H148" s="12"/>
      <c r="I148" s="10">
        <f>RITable[[#This Row],[Price (3y)]]/RITable[[#This Row],[Ratio]] / 3</f>
        <v>0</v>
      </c>
    </row>
    <row r="149" spans="1:9" x14ac:dyDescent="0.3">
      <c r="A149" t="s">
        <v>128</v>
      </c>
      <c r="B149" t="s">
        <v>131</v>
      </c>
      <c r="C149">
        <v>4</v>
      </c>
      <c r="E149" s="12"/>
      <c r="F149" s="11">
        <f>RITable[[#This Row],[Price (1y)]]/RITable[[#This Row],[Ratio]]</f>
        <v>0</v>
      </c>
      <c r="H149" s="12"/>
      <c r="I149" s="10">
        <f>RITable[[#This Row],[Price (3y)]]/RITable[[#This Row],[Ratio]] / 3</f>
        <v>0</v>
      </c>
    </row>
    <row r="150" spans="1:9" x14ac:dyDescent="0.3">
      <c r="A150" t="s">
        <v>128</v>
      </c>
      <c r="B150" t="s">
        <v>132</v>
      </c>
      <c r="C150">
        <v>8</v>
      </c>
      <c r="E150" s="12"/>
      <c r="F150" s="11">
        <f>RITable[[#This Row],[Price (1y)]]/RITable[[#This Row],[Ratio]]</f>
        <v>0</v>
      </c>
      <c r="H150" s="12"/>
      <c r="I150" s="10">
        <f>RITable[[#This Row],[Price (3y)]]/RITable[[#This Row],[Ratio]] / 3</f>
        <v>0</v>
      </c>
    </row>
    <row r="151" spans="1:9" x14ac:dyDescent="0.3">
      <c r="A151" t="s">
        <v>39</v>
      </c>
      <c r="B151" t="s">
        <v>133</v>
      </c>
      <c r="C151">
        <v>1</v>
      </c>
      <c r="E151" s="12"/>
      <c r="F151" s="11">
        <f>RITable[[#This Row],[Price (1y)]]/RITable[[#This Row],[Ratio]]</f>
        <v>0</v>
      </c>
      <c r="H151" s="12"/>
      <c r="I151" s="10">
        <f>RITable[[#This Row],[Price (3y)]]/RITable[[#This Row],[Ratio]] / 3</f>
        <v>0</v>
      </c>
    </row>
    <row r="152" spans="1:9" x14ac:dyDescent="0.3">
      <c r="A152" t="s">
        <v>39</v>
      </c>
      <c r="B152" t="s">
        <v>134</v>
      </c>
      <c r="C152">
        <v>2</v>
      </c>
      <c r="E152" s="12"/>
      <c r="F152" s="11">
        <f>RITable[[#This Row],[Price (1y)]]/RITable[[#This Row],[Ratio]]</f>
        <v>0</v>
      </c>
      <c r="H152" s="12"/>
      <c r="I152" s="10">
        <f>RITable[[#This Row],[Price (3y)]]/RITable[[#This Row],[Ratio]] / 3</f>
        <v>0</v>
      </c>
    </row>
    <row r="153" spans="1:9" x14ac:dyDescent="0.3">
      <c r="A153" t="s">
        <v>39</v>
      </c>
      <c r="B153" t="s">
        <v>135</v>
      </c>
      <c r="C153">
        <v>4</v>
      </c>
      <c r="E153" s="12"/>
      <c r="F153" s="11">
        <f>RITable[[#This Row],[Price (1y)]]/RITable[[#This Row],[Ratio]]</f>
        <v>0</v>
      </c>
      <c r="H153" s="12"/>
      <c r="I153" s="10">
        <f>RITable[[#This Row],[Price (3y)]]/RITable[[#This Row],[Ratio]] / 3</f>
        <v>0</v>
      </c>
    </row>
    <row r="154" spans="1:9" x14ac:dyDescent="0.3">
      <c r="A154" t="s">
        <v>39</v>
      </c>
      <c r="B154" t="s">
        <v>136</v>
      </c>
      <c r="C154">
        <v>8</v>
      </c>
      <c r="E154" s="12"/>
      <c r="F154" s="11">
        <f>RITable[[#This Row],[Price (1y)]]/RITable[[#This Row],[Ratio]]</f>
        <v>0</v>
      </c>
      <c r="H154" s="12"/>
      <c r="I154" s="10">
        <f>RITable[[#This Row],[Price (3y)]]/RITable[[#This Row],[Ratio]] / 3</f>
        <v>0</v>
      </c>
    </row>
    <row r="155" spans="1:9" x14ac:dyDescent="0.3">
      <c r="A155" t="s">
        <v>39</v>
      </c>
      <c r="B155" t="s">
        <v>137</v>
      </c>
      <c r="C155">
        <v>16</v>
      </c>
      <c r="E155" s="12"/>
      <c r="F155" s="11">
        <f>RITable[[#This Row],[Price (1y)]]/RITable[[#This Row],[Ratio]]</f>
        <v>0</v>
      </c>
      <c r="H155" s="12"/>
      <c r="I155" s="10">
        <f>RITable[[#This Row],[Price (3y)]]/RITable[[#This Row],[Ratio]] / 3</f>
        <v>0</v>
      </c>
    </row>
    <row r="156" spans="1:9" x14ac:dyDescent="0.3">
      <c r="A156" t="s">
        <v>40</v>
      </c>
      <c r="B156" t="s">
        <v>139</v>
      </c>
      <c r="C156">
        <v>1</v>
      </c>
      <c r="E156" s="12"/>
      <c r="F156" s="11">
        <f>RITable[[#This Row],[Price (1y)]]/RITable[[#This Row],[Ratio]]</f>
        <v>0</v>
      </c>
      <c r="H156" s="12"/>
      <c r="I156" s="10">
        <f>RITable[[#This Row],[Price (3y)]]/RITable[[#This Row],[Ratio]] / 3</f>
        <v>0</v>
      </c>
    </row>
    <row r="157" spans="1:9" x14ac:dyDescent="0.3">
      <c r="A157" t="s">
        <v>40</v>
      </c>
      <c r="B157" t="s">
        <v>138</v>
      </c>
      <c r="C157">
        <v>1</v>
      </c>
      <c r="E157" s="12"/>
      <c r="F157" s="11">
        <f>RITable[[#This Row],[Price (1y)]]/RITable[[#This Row],[Ratio]]</f>
        <v>0</v>
      </c>
      <c r="H157" s="12"/>
      <c r="I157" s="10">
        <f>RITable[[#This Row],[Price (3y)]]/RITable[[#This Row],[Ratio]] / 3</f>
        <v>0</v>
      </c>
    </row>
    <row r="158" spans="1:9" x14ac:dyDescent="0.3">
      <c r="A158" t="s">
        <v>40</v>
      </c>
      <c r="B158" t="s">
        <v>141</v>
      </c>
      <c r="C158">
        <v>2</v>
      </c>
      <c r="E158" s="12"/>
      <c r="F158" s="11">
        <f>RITable[[#This Row],[Price (1y)]]/RITable[[#This Row],[Ratio]]</f>
        <v>0</v>
      </c>
      <c r="H158" s="12"/>
      <c r="I158" s="10">
        <f>RITable[[#This Row],[Price (3y)]]/RITable[[#This Row],[Ratio]] / 3</f>
        <v>0</v>
      </c>
    </row>
    <row r="159" spans="1:9" x14ac:dyDescent="0.3">
      <c r="A159" t="s">
        <v>40</v>
      </c>
      <c r="B159" t="s">
        <v>140</v>
      </c>
      <c r="C159">
        <v>2</v>
      </c>
      <c r="E159" s="12"/>
      <c r="F159" s="11">
        <f>RITable[[#This Row],[Price (1y)]]/RITable[[#This Row],[Ratio]]</f>
        <v>0</v>
      </c>
      <c r="H159" s="12"/>
      <c r="I159" s="10">
        <f>RITable[[#This Row],[Price (3y)]]/RITable[[#This Row],[Ratio]] / 3</f>
        <v>0</v>
      </c>
    </row>
    <row r="160" spans="1:9" x14ac:dyDescent="0.3">
      <c r="A160" t="s">
        <v>40</v>
      </c>
      <c r="B160" t="s">
        <v>142</v>
      </c>
      <c r="C160">
        <v>2</v>
      </c>
      <c r="E160" s="12"/>
      <c r="F160" s="11">
        <f>RITable[[#This Row],[Price (1y)]]/RITable[[#This Row],[Ratio]]</f>
        <v>0</v>
      </c>
      <c r="H160" s="12"/>
      <c r="I160" s="10">
        <f>RITable[[#This Row],[Price (3y)]]/RITable[[#This Row],[Ratio]] / 3</f>
        <v>0</v>
      </c>
    </row>
    <row r="161" spans="1:9" x14ac:dyDescent="0.3">
      <c r="A161" t="s">
        <v>40</v>
      </c>
      <c r="B161" t="s">
        <v>143</v>
      </c>
      <c r="C161">
        <v>4</v>
      </c>
      <c r="E161" s="12"/>
      <c r="F161" s="11">
        <f>RITable[[#This Row],[Price (1y)]]/RITable[[#This Row],[Ratio]]</f>
        <v>0</v>
      </c>
      <c r="H161" s="12"/>
      <c r="I161" s="10">
        <f>RITable[[#This Row],[Price (3y)]]/RITable[[#This Row],[Ratio]] / 3</f>
        <v>0</v>
      </c>
    </row>
    <row r="162" spans="1:9" x14ac:dyDescent="0.3">
      <c r="A162" t="s">
        <v>40</v>
      </c>
      <c r="B162" t="s">
        <v>144</v>
      </c>
      <c r="C162">
        <v>4</v>
      </c>
      <c r="E162" s="12"/>
      <c r="F162" s="11">
        <f>RITable[[#This Row],[Price (1y)]]/RITable[[#This Row],[Ratio]]</f>
        <v>0</v>
      </c>
      <c r="H162" s="12"/>
      <c r="I162" s="10">
        <f>RITable[[#This Row],[Price (3y)]]/RITable[[#This Row],[Ratio]] / 3</f>
        <v>0</v>
      </c>
    </row>
    <row r="163" spans="1:9" x14ac:dyDescent="0.3">
      <c r="A163" t="s">
        <v>40</v>
      </c>
      <c r="B163" t="s">
        <v>145</v>
      </c>
      <c r="C163">
        <v>4</v>
      </c>
      <c r="E163" s="12"/>
      <c r="F163" s="11">
        <f>RITable[[#This Row],[Price (1y)]]/RITable[[#This Row],[Ratio]]</f>
        <v>0</v>
      </c>
      <c r="H163" s="12"/>
      <c r="I163" s="10">
        <f>RITable[[#This Row],[Price (3y)]]/RITable[[#This Row],[Ratio]] / 3</f>
        <v>0</v>
      </c>
    </row>
    <row r="164" spans="1:9" x14ac:dyDescent="0.3">
      <c r="A164" t="s">
        <v>40</v>
      </c>
      <c r="B164" t="s">
        <v>146</v>
      </c>
      <c r="C164">
        <v>8</v>
      </c>
      <c r="E164" s="12"/>
      <c r="F164" s="11">
        <f>RITable[[#This Row],[Price (1y)]]/RITable[[#This Row],[Ratio]]</f>
        <v>0</v>
      </c>
      <c r="H164" s="12"/>
      <c r="I164" s="10">
        <f>RITable[[#This Row],[Price (3y)]]/RITable[[#This Row],[Ratio]] / 3</f>
        <v>0</v>
      </c>
    </row>
    <row r="165" spans="1:9" x14ac:dyDescent="0.3">
      <c r="A165" t="s">
        <v>40</v>
      </c>
      <c r="B165" t="s">
        <v>148</v>
      </c>
      <c r="C165">
        <v>8</v>
      </c>
      <c r="E165" s="12"/>
      <c r="F165" s="11">
        <f>RITable[[#This Row],[Price (1y)]]/RITable[[#This Row],[Ratio]]</f>
        <v>0</v>
      </c>
      <c r="H165" s="12"/>
      <c r="I165" s="10">
        <f>RITable[[#This Row],[Price (3y)]]/RITable[[#This Row],[Ratio]] / 3</f>
        <v>0</v>
      </c>
    </row>
    <row r="166" spans="1:9" x14ac:dyDescent="0.3">
      <c r="A166" t="s">
        <v>40</v>
      </c>
      <c r="B166" t="s">
        <v>147</v>
      </c>
      <c r="C166">
        <v>8</v>
      </c>
      <c r="E166" s="12"/>
      <c r="F166" s="11">
        <f>RITable[[#This Row],[Price (1y)]]/RITable[[#This Row],[Ratio]]</f>
        <v>0</v>
      </c>
      <c r="H166" s="12"/>
      <c r="I166" s="10">
        <f>RITable[[#This Row],[Price (3y)]]/RITable[[#This Row],[Ratio]] / 3</f>
        <v>0</v>
      </c>
    </row>
    <row r="167" spans="1:9" x14ac:dyDescent="0.3">
      <c r="A167" t="s">
        <v>40</v>
      </c>
      <c r="B167" t="s">
        <v>149</v>
      </c>
      <c r="C167">
        <v>10</v>
      </c>
      <c r="E167" s="12"/>
      <c r="F167" s="11">
        <f>RITable[[#This Row],[Price (1y)]]/RITable[[#This Row],[Ratio]]</f>
        <v>0</v>
      </c>
      <c r="H167" s="12"/>
      <c r="I167" s="10">
        <f>RITable[[#This Row],[Price (3y)]]/RITable[[#This Row],[Ratio]] / 3</f>
        <v>0</v>
      </c>
    </row>
    <row r="168" spans="1:9" x14ac:dyDescent="0.3">
      <c r="A168" t="s">
        <v>41</v>
      </c>
      <c r="B168" t="s">
        <v>150</v>
      </c>
      <c r="C168">
        <v>1</v>
      </c>
      <c r="E168" s="12"/>
      <c r="F168" s="11">
        <f>RITable[[#This Row],[Price (1y)]]/RITable[[#This Row],[Ratio]]</f>
        <v>0</v>
      </c>
      <c r="H168" s="12"/>
      <c r="I168" s="10">
        <f>RITable[[#This Row],[Price (3y)]]/RITable[[#This Row],[Ratio]] / 3</f>
        <v>0</v>
      </c>
    </row>
    <row r="169" spans="1:9" x14ac:dyDescent="0.3">
      <c r="A169" t="s">
        <v>41</v>
      </c>
      <c r="B169" t="s">
        <v>151</v>
      </c>
      <c r="C169">
        <v>2</v>
      </c>
      <c r="E169" s="12"/>
      <c r="F169" s="11">
        <f>RITable[[#This Row],[Price (1y)]]/RITable[[#This Row],[Ratio]]</f>
        <v>0</v>
      </c>
      <c r="H169" s="12"/>
      <c r="I169" s="10">
        <f>RITable[[#This Row],[Price (3y)]]/RITable[[#This Row],[Ratio]] / 3</f>
        <v>0</v>
      </c>
    </row>
    <row r="170" spans="1:9" x14ac:dyDescent="0.3">
      <c r="A170" t="s">
        <v>41</v>
      </c>
      <c r="B170" t="s">
        <v>153</v>
      </c>
      <c r="C170">
        <v>4</v>
      </c>
      <c r="E170" s="12"/>
      <c r="F170" s="11">
        <f>RITable[[#This Row],[Price (1y)]]/RITable[[#This Row],[Ratio]]</f>
        <v>0</v>
      </c>
      <c r="H170" s="12"/>
      <c r="I170" s="10">
        <f>RITable[[#This Row],[Price (3y)]]/RITable[[#This Row],[Ratio]] / 3</f>
        <v>0</v>
      </c>
    </row>
    <row r="171" spans="1:9" x14ac:dyDescent="0.3">
      <c r="A171" t="s">
        <v>41</v>
      </c>
      <c r="B171" t="s">
        <v>152</v>
      </c>
      <c r="C171">
        <v>4</v>
      </c>
      <c r="E171" s="12"/>
      <c r="F171" s="11">
        <f>RITable[[#This Row],[Price (1y)]]/RITable[[#This Row],[Ratio]]</f>
        <v>0</v>
      </c>
      <c r="H171" s="12"/>
      <c r="I171" s="10">
        <f>RITable[[#This Row],[Price (3y)]]/RITable[[#This Row],[Ratio]] / 3</f>
        <v>0</v>
      </c>
    </row>
    <row r="172" spans="1:9" x14ac:dyDescent="0.3">
      <c r="A172" t="s">
        <v>41</v>
      </c>
      <c r="B172" t="s">
        <v>154</v>
      </c>
      <c r="C172">
        <v>8</v>
      </c>
      <c r="E172" s="12"/>
      <c r="F172" s="11">
        <f>RITable[[#This Row],[Price (1y)]]/RITable[[#This Row],[Ratio]]</f>
        <v>0</v>
      </c>
      <c r="H172" s="12"/>
      <c r="I172" s="10">
        <f>RITable[[#This Row],[Price (3y)]]/RITable[[#This Row],[Ratio]] / 3</f>
        <v>0</v>
      </c>
    </row>
    <row r="173" spans="1:9" x14ac:dyDescent="0.3">
      <c r="A173" t="s">
        <v>41</v>
      </c>
      <c r="B173" t="s">
        <v>156</v>
      </c>
      <c r="C173">
        <v>16</v>
      </c>
      <c r="E173" s="12"/>
      <c r="F173" s="11">
        <f>RITable[[#This Row],[Price (1y)]]/RITable[[#This Row],[Ratio]]</f>
        <v>0</v>
      </c>
      <c r="H173" s="12"/>
      <c r="I173" s="10">
        <f>RITable[[#This Row],[Price (3y)]]/RITable[[#This Row],[Ratio]] / 3</f>
        <v>0</v>
      </c>
    </row>
    <row r="174" spans="1:9" x14ac:dyDescent="0.3">
      <c r="A174" t="s">
        <v>41</v>
      </c>
      <c r="B174" t="s">
        <v>155</v>
      </c>
      <c r="C174">
        <v>16</v>
      </c>
      <c r="E174" s="12"/>
      <c r="F174" s="11">
        <f>RITable[[#This Row],[Price (1y)]]/RITable[[#This Row],[Ratio]]</f>
        <v>0</v>
      </c>
      <c r="H174" s="12"/>
      <c r="I174" s="10">
        <f>RITable[[#This Row],[Price (3y)]]/RITable[[#This Row],[Ratio]] / 3</f>
        <v>0</v>
      </c>
    </row>
    <row r="175" spans="1:9" x14ac:dyDescent="0.3">
      <c r="A175" t="s">
        <v>41</v>
      </c>
      <c r="B175" t="s">
        <v>157</v>
      </c>
      <c r="C175">
        <v>16</v>
      </c>
      <c r="E175" s="12"/>
      <c r="F175" s="11">
        <f>RITable[[#This Row],[Price (1y)]]/RITable[[#This Row],[Ratio]]</f>
        <v>0</v>
      </c>
      <c r="H175" s="12"/>
      <c r="I175" s="10">
        <f>RITable[[#This Row],[Price (3y)]]/RITable[[#This Row],[Ratio]] / 3</f>
        <v>0</v>
      </c>
    </row>
    <row r="176" spans="1:9" x14ac:dyDescent="0.3">
      <c r="A176" t="s">
        <v>41</v>
      </c>
      <c r="B176" t="s">
        <v>158</v>
      </c>
      <c r="C176">
        <v>24</v>
      </c>
      <c r="E176" s="12"/>
      <c r="F176" s="11">
        <f>RITable[[#This Row],[Price (1y)]]/RITable[[#This Row],[Ratio]]</f>
        <v>0</v>
      </c>
      <c r="H176" s="12"/>
      <c r="I176" s="10">
        <f>RITable[[#This Row],[Price (3y)]]/RITable[[#This Row],[Ratio]] / 3</f>
        <v>0</v>
      </c>
    </row>
    <row r="177" spans="1:9" x14ac:dyDescent="0.3">
      <c r="A177" t="s">
        <v>41</v>
      </c>
      <c r="B177" t="s">
        <v>159</v>
      </c>
      <c r="C177">
        <v>32</v>
      </c>
      <c r="E177" s="12"/>
      <c r="F177" s="11">
        <f>RITable[[#This Row],[Price (1y)]]/RITable[[#This Row],[Ratio]]</f>
        <v>0</v>
      </c>
      <c r="H177" s="12"/>
      <c r="I177" s="10">
        <f>RITable[[#This Row],[Price (3y)]]/RITable[[#This Row],[Ratio]] / 3</f>
        <v>0</v>
      </c>
    </row>
    <row r="178" spans="1:9" x14ac:dyDescent="0.3">
      <c r="A178" t="s">
        <v>41</v>
      </c>
      <c r="B178" t="s">
        <v>161</v>
      </c>
      <c r="C178">
        <v>32</v>
      </c>
      <c r="E178" s="12"/>
      <c r="F178" s="11">
        <f>RITable[[#This Row],[Price (1y)]]/RITable[[#This Row],[Ratio]]</f>
        <v>0</v>
      </c>
      <c r="H178" s="12"/>
      <c r="I178" s="10">
        <f>RITable[[#This Row],[Price (3y)]]/RITable[[#This Row],[Ratio]] / 3</f>
        <v>0</v>
      </c>
    </row>
    <row r="179" spans="1:9" x14ac:dyDescent="0.3">
      <c r="A179" t="s">
        <v>41</v>
      </c>
      <c r="B179" t="s">
        <v>160</v>
      </c>
      <c r="C179">
        <v>32</v>
      </c>
      <c r="E179" s="12"/>
      <c r="F179" s="11">
        <f>RITable[[#This Row],[Price (1y)]]/RITable[[#This Row],[Ratio]]</f>
        <v>0</v>
      </c>
      <c r="H179" s="12"/>
      <c r="I179" s="10">
        <f>RITable[[#This Row],[Price (3y)]]/RITable[[#This Row],[Ratio]] / 3</f>
        <v>0</v>
      </c>
    </row>
    <row r="180" spans="1:9" x14ac:dyDescent="0.3">
      <c r="A180" t="s">
        <v>162</v>
      </c>
      <c r="B180" t="s">
        <v>163</v>
      </c>
      <c r="C180">
        <v>1</v>
      </c>
      <c r="E180" s="12"/>
      <c r="F180" s="11">
        <f>RITable[[#This Row],[Price (1y)]]/RITable[[#This Row],[Ratio]]</f>
        <v>0</v>
      </c>
      <c r="H180" s="12"/>
      <c r="I180" s="10">
        <f>RITable[[#This Row],[Price (3y)]]/RITable[[#This Row],[Ratio]] / 3</f>
        <v>0</v>
      </c>
    </row>
    <row r="181" spans="1:9" x14ac:dyDescent="0.3">
      <c r="A181" t="s">
        <v>162</v>
      </c>
      <c r="B181" t="s">
        <v>164</v>
      </c>
      <c r="C181">
        <v>1.1875</v>
      </c>
      <c r="E181" s="12"/>
      <c r="F181" s="11">
        <f>RITable[[#This Row],[Price (1y)]]/RITable[[#This Row],[Ratio]]</f>
        <v>0</v>
      </c>
      <c r="H181" s="12"/>
      <c r="I181" s="10">
        <f>RITable[[#This Row],[Price (3y)]]/RITable[[#This Row],[Ratio]] / 3</f>
        <v>0</v>
      </c>
    </row>
    <row r="182" spans="1:9" x14ac:dyDescent="0.3">
      <c r="A182" t="s">
        <v>162</v>
      </c>
      <c r="B182" t="s">
        <v>165</v>
      </c>
      <c r="C182">
        <v>1.25</v>
      </c>
      <c r="E182" s="12"/>
      <c r="F182" s="11">
        <f>RITable[[#This Row],[Price (1y)]]/RITable[[#This Row],[Ratio]]</f>
        <v>0</v>
      </c>
      <c r="H182" s="12"/>
      <c r="I182" s="10">
        <f>RITable[[#This Row],[Price (3y)]]/RITable[[#This Row],[Ratio]] / 3</f>
        <v>0</v>
      </c>
    </row>
    <row r="183" spans="1:9" x14ac:dyDescent="0.3">
      <c r="A183" t="s">
        <v>162</v>
      </c>
      <c r="B183" t="s">
        <v>166</v>
      </c>
      <c r="C183">
        <v>1.5625</v>
      </c>
      <c r="E183" s="12"/>
      <c r="F183" s="11">
        <f>RITable[[#This Row],[Price (1y)]]/RITable[[#This Row],[Ratio]]</f>
        <v>0</v>
      </c>
      <c r="H183" s="12"/>
      <c r="I183" s="10">
        <f>RITable[[#This Row],[Price (3y)]]/RITable[[#This Row],[Ratio]] / 3</f>
        <v>0</v>
      </c>
    </row>
    <row r="184" spans="1:9" x14ac:dyDescent="0.3">
      <c r="A184" t="s">
        <v>167</v>
      </c>
      <c r="B184" t="s">
        <v>168</v>
      </c>
      <c r="C184">
        <v>1</v>
      </c>
      <c r="E184" s="12"/>
      <c r="F184" s="11">
        <f>RITable[[#This Row],[Price (1y)]]/RITable[[#This Row],[Ratio]]</f>
        <v>0</v>
      </c>
      <c r="H184" s="12"/>
      <c r="I184" s="10">
        <f>RITable[[#This Row],[Price (3y)]]/RITable[[#This Row],[Ratio]] / 3</f>
        <v>0</v>
      </c>
    </row>
    <row r="185" spans="1:9" x14ac:dyDescent="0.3">
      <c r="A185" t="s">
        <v>167</v>
      </c>
      <c r="B185" t="s">
        <v>169</v>
      </c>
      <c r="C185">
        <v>1.25</v>
      </c>
      <c r="E185" s="12"/>
      <c r="F185" s="11">
        <f>RITable[[#This Row],[Price (1y)]]/RITable[[#This Row],[Ratio]]</f>
        <v>0</v>
      </c>
      <c r="H185" s="12"/>
      <c r="I185" s="10">
        <f>RITable[[#This Row],[Price (3y)]]/RITable[[#This Row],[Ratio]] / 3</f>
        <v>0</v>
      </c>
    </row>
    <row r="186" spans="1:9" x14ac:dyDescent="0.3">
      <c r="A186" t="s">
        <v>170</v>
      </c>
      <c r="B186" t="s">
        <v>171</v>
      </c>
      <c r="C186">
        <v>1</v>
      </c>
      <c r="E186" s="12"/>
      <c r="F186" s="11">
        <f>RITable[[#This Row],[Price (1y)]]/RITable[[#This Row],[Ratio]]</f>
        <v>0</v>
      </c>
      <c r="H186" s="12"/>
      <c r="I186" s="10">
        <f>RITable[[#This Row],[Price (3y)]]/RITable[[#This Row],[Ratio]] / 3</f>
        <v>0</v>
      </c>
    </row>
    <row r="187" spans="1:9" x14ac:dyDescent="0.3">
      <c r="A187" t="s">
        <v>170</v>
      </c>
      <c r="B187" t="s">
        <v>172</v>
      </c>
      <c r="C187">
        <v>2</v>
      </c>
      <c r="E187" s="12"/>
      <c r="F187" s="11">
        <f>RITable[[#This Row],[Price (1y)]]/RITable[[#This Row],[Ratio]]</f>
        <v>0</v>
      </c>
      <c r="H187" s="12"/>
      <c r="I187" s="10">
        <f>RITable[[#This Row],[Price (3y)]]/RITable[[#This Row],[Ratio]] / 3</f>
        <v>0</v>
      </c>
    </row>
    <row r="188" spans="1:9" x14ac:dyDescent="0.3">
      <c r="A188" t="s">
        <v>170</v>
      </c>
      <c r="B188" t="s">
        <v>173</v>
      </c>
      <c r="C188">
        <v>4</v>
      </c>
      <c r="E188" s="12"/>
      <c r="F188" s="11">
        <f>RITable[[#This Row],[Price (1y)]]/RITable[[#This Row],[Ratio]]</f>
        <v>0</v>
      </c>
      <c r="H188" s="12"/>
      <c r="I188" s="10">
        <f>RITable[[#This Row],[Price (3y)]]/RITable[[#This Row],[Ratio]] / 3</f>
        <v>0</v>
      </c>
    </row>
    <row r="189" spans="1:9" x14ac:dyDescent="0.3">
      <c r="A189" t="s">
        <v>170</v>
      </c>
      <c r="B189" t="s">
        <v>174</v>
      </c>
      <c r="C189">
        <v>8</v>
      </c>
      <c r="E189" s="12"/>
      <c r="F189" s="11">
        <f>RITable[[#This Row],[Price (1y)]]/RITable[[#This Row],[Ratio]]</f>
        <v>0</v>
      </c>
      <c r="H189" s="12"/>
      <c r="I189" s="10">
        <f>RITable[[#This Row],[Price (3y)]]/RITable[[#This Row],[Ratio]] / 3</f>
        <v>0</v>
      </c>
    </row>
    <row r="190" spans="1:9" x14ac:dyDescent="0.3">
      <c r="A190" t="s">
        <v>170</v>
      </c>
      <c r="B190" t="s">
        <v>175</v>
      </c>
      <c r="C190">
        <v>16</v>
      </c>
      <c r="E190" s="12"/>
      <c r="F190" s="11">
        <f>RITable[[#This Row],[Price (1y)]]/RITable[[#This Row],[Ratio]]</f>
        <v>0</v>
      </c>
      <c r="H190" s="12"/>
      <c r="I190" s="10">
        <f>RITable[[#This Row],[Price (3y)]]/RITable[[#This Row],[Ratio]] / 3</f>
        <v>0</v>
      </c>
    </row>
    <row r="191" spans="1:9" x14ac:dyDescent="0.3">
      <c r="A191" t="s">
        <v>170</v>
      </c>
      <c r="B191" t="s">
        <v>176</v>
      </c>
      <c r="C191">
        <v>24</v>
      </c>
      <c r="E191" s="12"/>
      <c r="F191" s="11">
        <f>RITable[[#This Row],[Price (1y)]]/RITable[[#This Row],[Ratio]]</f>
        <v>0</v>
      </c>
      <c r="H191" s="12"/>
      <c r="I191" s="10">
        <f>RITable[[#This Row],[Price (3y)]]/RITable[[#This Row],[Ratio]] / 3</f>
        <v>0</v>
      </c>
    </row>
    <row r="192" spans="1:9" x14ac:dyDescent="0.3">
      <c r="A192" t="s">
        <v>170</v>
      </c>
      <c r="B192" t="s">
        <v>177</v>
      </c>
      <c r="C192">
        <v>32</v>
      </c>
      <c r="E192" s="12"/>
      <c r="F192" s="11">
        <f>RITable[[#This Row],[Price (1y)]]/RITable[[#This Row],[Ratio]]</f>
        <v>0</v>
      </c>
      <c r="H192" s="12"/>
      <c r="I192" s="10">
        <f>RITable[[#This Row],[Price (3y)]]/RITable[[#This Row],[Ratio]] / 3</f>
        <v>0</v>
      </c>
    </row>
    <row r="193" spans="1:9" x14ac:dyDescent="0.3">
      <c r="A193" t="s">
        <v>170</v>
      </c>
      <c r="B193" t="s">
        <v>178</v>
      </c>
      <c r="C193">
        <v>48</v>
      </c>
      <c r="E193" s="12"/>
      <c r="F193" s="11">
        <f>RITable[[#This Row],[Price (1y)]]/RITable[[#This Row],[Ratio]]</f>
        <v>0</v>
      </c>
      <c r="H193" s="12"/>
      <c r="I193" s="10">
        <f>RITable[[#This Row],[Price (3y)]]/RITable[[#This Row],[Ratio]] / 3</f>
        <v>0</v>
      </c>
    </row>
    <row r="194" spans="1:9" x14ac:dyDescent="0.3">
      <c r="A194" t="s">
        <v>179</v>
      </c>
      <c r="B194" t="s">
        <v>180</v>
      </c>
      <c r="C194">
        <v>1</v>
      </c>
      <c r="E194" s="12"/>
      <c r="F194" s="11">
        <f>RITable[[#This Row],[Price (1y)]]/RITable[[#This Row],[Ratio]]</f>
        <v>0</v>
      </c>
      <c r="H194" s="12"/>
      <c r="I194" s="10">
        <f>RITable[[#This Row],[Price (3y)]]/RITable[[#This Row],[Ratio]] / 3</f>
        <v>0</v>
      </c>
    </row>
    <row r="195" spans="1:9" x14ac:dyDescent="0.3">
      <c r="A195" t="s">
        <v>179</v>
      </c>
      <c r="B195" t="s">
        <v>181</v>
      </c>
      <c r="C195">
        <v>2</v>
      </c>
      <c r="E195" s="12"/>
      <c r="F195" s="11">
        <f>RITable[[#This Row],[Price (1y)]]/RITable[[#This Row],[Ratio]]</f>
        <v>0</v>
      </c>
      <c r="H195" s="12"/>
      <c r="I195" s="10">
        <f>RITable[[#This Row],[Price (3y)]]/RITable[[#This Row],[Ratio]] / 3</f>
        <v>0</v>
      </c>
    </row>
    <row r="196" spans="1:9" x14ac:dyDescent="0.3">
      <c r="A196" t="s">
        <v>179</v>
      </c>
      <c r="B196" t="s">
        <v>182</v>
      </c>
      <c r="C196">
        <v>4</v>
      </c>
      <c r="E196" s="12"/>
      <c r="F196" s="11">
        <f>RITable[[#This Row],[Price (1y)]]/RITable[[#This Row],[Ratio]]</f>
        <v>0</v>
      </c>
      <c r="H196" s="12"/>
      <c r="I196" s="10">
        <f>RITable[[#This Row],[Price (3y)]]/RITable[[#This Row],[Ratio]] / 3</f>
        <v>0</v>
      </c>
    </row>
    <row r="197" spans="1:9" x14ac:dyDescent="0.3">
      <c r="A197" t="s">
        <v>179</v>
      </c>
      <c r="B197" t="s">
        <v>183</v>
      </c>
      <c r="C197">
        <v>8</v>
      </c>
      <c r="E197" s="12"/>
      <c r="F197" s="11">
        <f>RITable[[#This Row],[Price (1y)]]/RITable[[#This Row],[Ratio]]</f>
        <v>0</v>
      </c>
      <c r="H197" s="12"/>
      <c r="I197" s="10">
        <f>RITable[[#This Row],[Price (3y)]]/RITable[[#This Row],[Ratio]] / 3</f>
        <v>0</v>
      </c>
    </row>
    <row r="198" spans="1:9" x14ac:dyDescent="0.3">
      <c r="A198" t="s">
        <v>179</v>
      </c>
      <c r="B198" t="s">
        <v>184</v>
      </c>
      <c r="C198">
        <v>16</v>
      </c>
      <c r="E198" s="12"/>
      <c r="F198" s="11">
        <f>RITable[[#This Row],[Price (1y)]]/RITable[[#This Row],[Ratio]]</f>
        <v>0</v>
      </c>
      <c r="H198" s="12"/>
      <c r="I198" s="10">
        <f>RITable[[#This Row],[Price (3y)]]/RITable[[#This Row],[Ratio]] / 3</f>
        <v>0</v>
      </c>
    </row>
    <row r="199" spans="1:9" x14ac:dyDescent="0.3">
      <c r="A199" t="s">
        <v>179</v>
      </c>
      <c r="B199" t="s">
        <v>185</v>
      </c>
      <c r="C199">
        <v>24</v>
      </c>
      <c r="E199" s="12"/>
      <c r="F199" s="11">
        <f>RITable[[#This Row],[Price (1y)]]/RITable[[#This Row],[Ratio]]</f>
        <v>0</v>
      </c>
      <c r="H199" s="12"/>
      <c r="I199" s="10">
        <f>RITable[[#This Row],[Price (3y)]]/RITable[[#This Row],[Ratio]] / 3</f>
        <v>0</v>
      </c>
    </row>
    <row r="200" spans="1:9" x14ac:dyDescent="0.3">
      <c r="A200" t="s">
        <v>179</v>
      </c>
      <c r="B200" t="s">
        <v>186</v>
      </c>
      <c r="C200">
        <v>32</v>
      </c>
      <c r="E200" s="12"/>
      <c r="F200" s="11">
        <f>RITable[[#This Row],[Price (1y)]]/RITable[[#This Row],[Ratio]]</f>
        <v>0</v>
      </c>
      <c r="H200" s="12"/>
      <c r="I200" s="10">
        <f>RITable[[#This Row],[Price (3y)]]/RITable[[#This Row],[Ratio]] / 3</f>
        <v>0</v>
      </c>
    </row>
    <row r="201" spans="1:9" x14ac:dyDescent="0.3">
      <c r="A201" t="s">
        <v>179</v>
      </c>
      <c r="B201" t="s">
        <v>187</v>
      </c>
      <c r="C201">
        <v>48</v>
      </c>
      <c r="E201" s="12"/>
      <c r="F201" s="11">
        <f>RITable[[#This Row],[Price (1y)]]/RITable[[#This Row],[Ratio]]</f>
        <v>0</v>
      </c>
      <c r="H201" s="12"/>
      <c r="I201" s="10">
        <f>RITable[[#This Row],[Price (3y)]]/RITable[[#This Row],[Ratio]] / 3</f>
        <v>0</v>
      </c>
    </row>
    <row r="202" spans="1:9" x14ac:dyDescent="0.3">
      <c r="A202" t="s">
        <v>1034</v>
      </c>
      <c r="B202" t="s">
        <v>1035</v>
      </c>
      <c r="C202">
        <v>1</v>
      </c>
      <c r="E202" s="12"/>
      <c r="F202" s="11">
        <f>RITable[[#This Row],[Price (1y)]]/RITable[[#This Row],[Ratio]]</f>
        <v>0</v>
      </c>
      <c r="H202" s="12"/>
      <c r="I202" s="10">
        <f>RITable[[#This Row],[Price (3y)]]/RITable[[#This Row],[Ratio]] / 3</f>
        <v>0</v>
      </c>
    </row>
    <row r="203" spans="1:9" x14ac:dyDescent="0.3">
      <c r="A203" t="s">
        <v>188</v>
      </c>
      <c r="B203" t="s">
        <v>189</v>
      </c>
      <c r="C203">
        <v>1</v>
      </c>
      <c r="E203" s="12"/>
      <c r="F203" s="11">
        <f>RITable[[#This Row],[Price (1y)]]/RITable[[#This Row],[Ratio]]</f>
        <v>0</v>
      </c>
      <c r="H203" s="12"/>
      <c r="I203" s="10">
        <f>RITable[[#This Row],[Price (3y)]]/RITable[[#This Row],[Ratio]] / 3</f>
        <v>0</v>
      </c>
    </row>
    <row r="204" spans="1:9" x14ac:dyDescent="0.3">
      <c r="A204" t="s">
        <v>188</v>
      </c>
      <c r="B204" t="s">
        <v>190</v>
      </c>
      <c r="C204">
        <v>2</v>
      </c>
      <c r="E204" s="12"/>
      <c r="F204" s="11">
        <f>RITable[[#This Row],[Price (1y)]]/RITable[[#This Row],[Ratio]]</f>
        <v>0</v>
      </c>
      <c r="H204" s="12"/>
      <c r="I204" s="10">
        <f>RITable[[#This Row],[Price (3y)]]/RITable[[#This Row],[Ratio]] / 3</f>
        <v>0</v>
      </c>
    </row>
    <row r="205" spans="1:9" x14ac:dyDescent="0.3">
      <c r="A205" t="s">
        <v>188</v>
      </c>
      <c r="B205" t="s">
        <v>191</v>
      </c>
      <c r="C205">
        <v>4</v>
      </c>
      <c r="E205" s="12"/>
      <c r="F205" s="11">
        <f>RITable[[#This Row],[Price (1y)]]/RITable[[#This Row],[Ratio]]</f>
        <v>0</v>
      </c>
      <c r="H205" s="12"/>
      <c r="I205" s="10">
        <f>RITable[[#This Row],[Price (3y)]]/RITable[[#This Row],[Ratio]] / 3</f>
        <v>0</v>
      </c>
    </row>
    <row r="206" spans="1:9" x14ac:dyDescent="0.3">
      <c r="A206" t="s">
        <v>188</v>
      </c>
      <c r="B206" t="s">
        <v>192</v>
      </c>
      <c r="C206">
        <v>8</v>
      </c>
      <c r="E206" s="12"/>
      <c r="F206" s="11">
        <f>RITable[[#This Row],[Price (1y)]]/RITable[[#This Row],[Ratio]]</f>
        <v>0</v>
      </c>
      <c r="H206" s="12"/>
      <c r="I206" s="10">
        <f>RITable[[#This Row],[Price (3y)]]/RITable[[#This Row],[Ratio]] / 3</f>
        <v>0</v>
      </c>
    </row>
    <row r="207" spans="1:9" x14ac:dyDescent="0.3">
      <c r="A207" t="s">
        <v>188</v>
      </c>
      <c r="B207" t="s">
        <v>193</v>
      </c>
      <c r="C207">
        <v>16</v>
      </c>
      <c r="E207" s="12"/>
      <c r="F207" s="11">
        <f>RITable[[#This Row],[Price (1y)]]/RITable[[#This Row],[Ratio]]</f>
        <v>0</v>
      </c>
      <c r="H207" s="12"/>
      <c r="I207" s="10">
        <f>RITable[[#This Row],[Price (3y)]]/RITable[[#This Row],[Ratio]] / 3</f>
        <v>0</v>
      </c>
    </row>
    <row r="208" spans="1:9" x14ac:dyDescent="0.3">
      <c r="A208" t="s">
        <v>188</v>
      </c>
      <c r="B208" t="s">
        <v>194</v>
      </c>
      <c r="C208">
        <v>24</v>
      </c>
      <c r="E208" s="12"/>
      <c r="F208" s="11">
        <f>RITable[[#This Row],[Price (1y)]]/RITable[[#This Row],[Ratio]]</f>
        <v>0</v>
      </c>
      <c r="H208" s="12"/>
      <c r="I208" s="10">
        <f>RITable[[#This Row],[Price (3y)]]/RITable[[#This Row],[Ratio]] / 3</f>
        <v>0</v>
      </c>
    </row>
    <row r="209" spans="1:9" x14ac:dyDescent="0.3">
      <c r="A209" t="s">
        <v>188</v>
      </c>
      <c r="B209" t="s">
        <v>195</v>
      </c>
      <c r="C209">
        <v>32</v>
      </c>
      <c r="E209" s="12"/>
      <c r="F209" s="11">
        <f>RITable[[#This Row],[Price (1y)]]/RITable[[#This Row],[Ratio]]</f>
        <v>0</v>
      </c>
      <c r="H209" s="12"/>
      <c r="I209" s="10">
        <f>RITable[[#This Row],[Price (3y)]]/RITable[[#This Row],[Ratio]] / 3</f>
        <v>0</v>
      </c>
    </row>
    <row r="210" spans="1:9" x14ac:dyDescent="0.3">
      <c r="A210" t="s">
        <v>188</v>
      </c>
      <c r="B210" t="s">
        <v>196</v>
      </c>
      <c r="C210">
        <v>48</v>
      </c>
      <c r="E210" s="12"/>
      <c r="F210" s="11">
        <f>RITable[[#This Row],[Price (1y)]]/RITable[[#This Row],[Ratio]]</f>
        <v>0</v>
      </c>
      <c r="H210" s="12"/>
      <c r="I210" s="10">
        <f>RITable[[#This Row],[Price (3y)]]/RITable[[#This Row],[Ratio]] / 3</f>
        <v>0</v>
      </c>
    </row>
    <row r="211" spans="1:9" x14ac:dyDescent="0.3">
      <c r="A211" t="s">
        <v>37</v>
      </c>
      <c r="B211" t="s">
        <v>197</v>
      </c>
      <c r="C211">
        <v>1</v>
      </c>
      <c r="E211" s="12"/>
      <c r="F211" s="11">
        <f>RITable[[#This Row],[Price (1y)]]/RITable[[#This Row],[Ratio]]</f>
        <v>0</v>
      </c>
      <c r="H211" s="12"/>
      <c r="I211" s="10">
        <f>RITable[[#This Row],[Price (3y)]]/RITable[[#This Row],[Ratio]] / 3</f>
        <v>0</v>
      </c>
    </row>
    <row r="212" spans="1:9" x14ac:dyDescent="0.3">
      <c r="A212" t="s">
        <v>37</v>
      </c>
      <c r="B212" t="s">
        <v>199</v>
      </c>
      <c r="C212">
        <v>2</v>
      </c>
      <c r="E212" s="12"/>
      <c r="F212" s="11">
        <f>RITable[[#This Row],[Price (1y)]]/RITable[[#This Row],[Ratio]]</f>
        <v>0</v>
      </c>
      <c r="H212" s="12"/>
      <c r="I212" s="10">
        <f>RITable[[#This Row],[Price (3y)]]/RITable[[#This Row],[Ratio]] / 3</f>
        <v>0</v>
      </c>
    </row>
    <row r="213" spans="1:9" x14ac:dyDescent="0.3">
      <c r="A213" t="s">
        <v>37</v>
      </c>
      <c r="B213" t="s">
        <v>198</v>
      </c>
      <c r="C213">
        <v>2</v>
      </c>
      <c r="E213" s="12"/>
      <c r="F213" s="11">
        <f>RITable[[#This Row],[Price (1y)]]/RITable[[#This Row],[Ratio]]</f>
        <v>0</v>
      </c>
      <c r="H213" s="12"/>
      <c r="I213" s="10">
        <f>RITable[[#This Row],[Price (3y)]]/RITable[[#This Row],[Ratio]] / 3</f>
        <v>0</v>
      </c>
    </row>
    <row r="214" spans="1:9" x14ac:dyDescent="0.3">
      <c r="A214" t="s">
        <v>37</v>
      </c>
      <c r="B214" t="s">
        <v>201</v>
      </c>
      <c r="C214">
        <v>4</v>
      </c>
      <c r="E214" s="12"/>
      <c r="F214" s="11">
        <f>RITable[[#This Row],[Price (1y)]]/RITable[[#This Row],[Ratio]]</f>
        <v>0</v>
      </c>
      <c r="H214" s="12"/>
      <c r="I214" s="10">
        <f>RITable[[#This Row],[Price (3y)]]/RITable[[#This Row],[Ratio]] / 3</f>
        <v>0</v>
      </c>
    </row>
    <row r="215" spans="1:9" x14ac:dyDescent="0.3">
      <c r="A215" t="s">
        <v>37</v>
      </c>
      <c r="B215" t="s">
        <v>200</v>
      </c>
      <c r="C215">
        <v>4</v>
      </c>
      <c r="E215" s="12"/>
      <c r="F215" s="11">
        <f>RITable[[#This Row],[Price (1y)]]/RITable[[#This Row],[Ratio]]</f>
        <v>0</v>
      </c>
      <c r="H215" s="12"/>
      <c r="I215" s="10">
        <f>RITable[[#This Row],[Price (3y)]]/RITable[[#This Row],[Ratio]] / 3</f>
        <v>0</v>
      </c>
    </row>
    <row r="216" spans="1:9" x14ac:dyDescent="0.3">
      <c r="A216" t="s">
        <v>37</v>
      </c>
      <c r="B216" t="s">
        <v>202</v>
      </c>
      <c r="C216">
        <v>8</v>
      </c>
      <c r="E216" s="12"/>
      <c r="F216" s="11">
        <f>RITable[[#This Row],[Price (1y)]]/RITable[[#This Row],[Ratio]]</f>
        <v>0</v>
      </c>
      <c r="H216" s="12"/>
      <c r="I216" s="10">
        <f>RITable[[#This Row],[Price (3y)]]/RITable[[#This Row],[Ratio]] / 3</f>
        <v>0</v>
      </c>
    </row>
    <row r="217" spans="1:9" x14ac:dyDescent="0.3">
      <c r="A217" t="s">
        <v>37</v>
      </c>
      <c r="B217" t="s">
        <v>203</v>
      </c>
      <c r="C217">
        <v>16</v>
      </c>
      <c r="E217" s="12"/>
      <c r="F217" s="11">
        <f>RITable[[#This Row],[Price (1y)]]/RITable[[#This Row],[Ratio]]</f>
        <v>0</v>
      </c>
      <c r="H217" s="12"/>
      <c r="I217" s="10">
        <f>RITable[[#This Row],[Price (3y)]]/RITable[[#This Row],[Ratio]] / 3</f>
        <v>0</v>
      </c>
    </row>
    <row r="218" spans="1:9" x14ac:dyDescent="0.3">
      <c r="A218" t="s">
        <v>37</v>
      </c>
      <c r="B218" t="s">
        <v>204</v>
      </c>
      <c r="C218">
        <v>24</v>
      </c>
      <c r="E218" s="12"/>
      <c r="F218" s="11">
        <f>RITable[[#This Row],[Price (1y)]]/RITable[[#This Row],[Ratio]]</f>
        <v>0</v>
      </c>
      <c r="H218" s="12"/>
      <c r="I218" s="10">
        <f>RITable[[#This Row],[Price (3y)]]/RITable[[#This Row],[Ratio]] / 3</f>
        <v>0</v>
      </c>
    </row>
    <row r="219" spans="1:9" x14ac:dyDescent="0.3">
      <c r="A219" t="s">
        <v>37</v>
      </c>
      <c r="B219" t="s">
        <v>205</v>
      </c>
      <c r="C219">
        <v>32</v>
      </c>
      <c r="E219" s="12"/>
      <c r="F219" s="11">
        <f>RITable[[#This Row],[Price (1y)]]/RITable[[#This Row],[Ratio]]</f>
        <v>0</v>
      </c>
      <c r="H219" s="12"/>
      <c r="I219" s="10">
        <f>RITable[[#This Row],[Price (3y)]]/RITable[[#This Row],[Ratio]] / 3</f>
        <v>0</v>
      </c>
    </row>
    <row r="220" spans="1:9" x14ac:dyDescent="0.3">
      <c r="A220" t="s">
        <v>37</v>
      </c>
      <c r="B220" t="s">
        <v>206</v>
      </c>
      <c r="C220">
        <v>48</v>
      </c>
      <c r="E220" s="12"/>
      <c r="F220" s="11">
        <f>RITable[[#This Row],[Price (1y)]]/RITable[[#This Row],[Ratio]]</f>
        <v>0</v>
      </c>
      <c r="H220" s="12"/>
      <c r="I220" s="10">
        <f>RITable[[#This Row],[Price (3y)]]/RITable[[#This Row],[Ratio]] / 3</f>
        <v>0</v>
      </c>
    </row>
    <row r="221" spans="1:9" x14ac:dyDescent="0.3">
      <c r="A221" t="s">
        <v>207</v>
      </c>
      <c r="B221" t="s">
        <v>209</v>
      </c>
      <c r="C221">
        <v>1</v>
      </c>
      <c r="E221" s="12"/>
      <c r="F221" s="11">
        <f>RITable[[#This Row],[Price (1y)]]/RITable[[#This Row],[Ratio]]</f>
        <v>0</v>
      </c>
      <c r="H221" s="12"/>
      <c r="I221" s="10">
        <f>RITable[[#This Row],[Price (3y)]]/RITable[[#This Row],[Ratio]] / 3</f>
        <v>0</v>
      </c>
    </row>
    <row r="222" spans="1:9" x14ac:dyDescent="0.3">
      <c r="A222" t="s">
        <v>207</v>
      </c>
      <c r="B222" t="s">
        <v>208</v>
      </c>
      <c r="C222">
        <v>1</v>
      </c>
      <c r="E222" s="12"/>
      <c r="F222" s="11">
        <f>RITable[[#This Row],[Price (1y)]]/RITable[[#This Row],[Ratio]]</f>
        <v>0</v>
      </c>
      <c r="H222" s="12"/>
      <c r="I222" s="10">
        <f>RITable[[#This Row],[Price (3y)]]/RITable[[#This Row],[Ratio]] / 3</f>
        <v>0</v>
      </c>
    </row>
    <row r="223" spans="1:9" x14ac:dyDescent="0.3">
      <c r="A223" t="s">
        <v>210</v>
      </c>
      <c r="B223" t="s">
        <v>211</v>
      </c>
      <c r="C223">
        <v>1</v>
      </c>
      <c r="E223" s="12"/>
      <c r="F223" s="11">
        <f>RITable[[#This Row],[Price (1y)]]/RITable[[#This Row],[Ratio]]</f>
        <v>0</v>
      </c>
      <c r="H223" s="12"/>
      <c r="I223" s="10">
        <f>RITable[[#This Row],[Price (3y)]]/RITable[[#This Row],[Ratio]] / 3</f>
        <v>0</v>
      </c>
    </row>
    <row r="224" spans="1:9" x14ac:dyDescent="0.3">
      <c r="A224" t="s">
        <v>210</v>
      </c>
      <c r="B224" t="s">
        <v>212</v>
      </c>
      <c r="C224">
        <v>2</v>
      </c>
      <c r="E224" s="12"/>
      <c r="F224" s="11">
        <f>RITable[[#This Row],[Price (1y)]]/RITable[[#This Row],[Ratio]]</f>
        <v>0</v>
      </c>
      <c r="H224" s="12"/>
      <c r="I224" s="10">
        <f>RITable[[#This Row],[Price (3y)]]/RITable[[#This Row],[Ratio]] / 3</f>
        <v>0</v>
      </c>
    </row>
    <row r="225" spans="1:9" x14ac:dyDescent="0.3">
      <c r="A225" t="s">
        <v>210</v>
      </c>
      <c r="B225" t="s">
        <v>213</v>
      </c>
      <c r="C225">
        <v>4</v>
      </c>
      <c r="E225" s="12"/>
      <c r="F225" s="11">
        <f>RITable[[#This Row],[Price (1y)]]/RITable[[#This Row],[Ratio]]</f>
        <v>0</v>
      </c>
      <c r="H225" s="12"/>
      <c r="I225" s="10">
        <f>RITable[[#This Row],[Price (3y)]]/RITable[[#This Row],[Ratio]] / 3</f>
        <v>0</v>
      </c>
    </row>
    <row r="226" spans="1:9" x14ac:dyDescent="0.3">
      <c r="A226" t="s">
        <v>210</v>
      </c>
      <c r="B226" t="s">
        <v>214</v>
      </c>
      <c r="C226">
        <v>8</v>
      </c>
      <c r="E226" s="12"/>
      <c r="F226" s="11">
        <f>RITable[[#This Row],[Price (1y)]]/RITable[[#This Row],[Ratio]]</f>
        <v>0</v>
      </c>
      <c r="H226" s="12"/>
      <c r="I226" s="10">
        <f>RITable[[#This Row],[Price (3y)]]/RITable[[#This Row],[Ratio]] / 3</f>
        <v>0</v>
      </c>
    </row>
    <row r="227" spans="1:9" x14ac:dyDescent="0.3">
      <c r="A227" t="s">
        <v>210</v>
      </c>
      <c r="B227" t="s">
        <v>215</v>
      </c>
      <c r="C227">
        <v>16</v>
      </c>
      <c r="E227" s="12"/>
      <c r="F227" s="11">
        <f>RITable[[#This Row],[Price (1y)]]/RITable[[#This Row],[Ratio]]</f>
        <v>0</v>
      </c>
      <c r="H227" s="12"/>
      <c r="I227" s="10">
        <f>RITable[[#This Row],[Price (3y)]]/RITable[[#This Row],[Ratio]] / 3</f>
        <v>0</v>
      </c>
    </row>
    <row r="228" spans="1:9" x14ac:dyDescent="0.3">
      <c r="A228" t="s">
        <v>210</v>
      </c>
      <c r="B228" t="s">
        <v>216</v>
      </c>
      <c r="C228">
        <v>24</v>
      </c>
      <c r="E228" s="12"/>
      <c r="F228" s="11">
        <f>RITable[[#This Row],[Price (1y)]]/RITable[[#This Row],[Ratio]]</f>
        <v>0</v>
      </c>
      <c r="H228" s="12"/>
      <c r="I228" s="10">
        <f>RITable[[#This Row],[Price (3y)]]/RITable[[#This Row],[Ratio]] / 3</f>
        <v>0</v>
      </c>
    </row>
    <row r="229" spans="1:9" x14ac:dyDescent="0.3">
      <c r="A229" t="s">
        <v>210</v>
      </c>
      <c r="B229" t="s">
        <v>217</v>
      </c>
      <c r="C229">
        <v>32</v>
      </c>
      <c r="E229" s="12"/>
      <c r="F229" s="11">
        <f>RITable[[#This Row],[Price (1y)]]/RITable[[#This Row],[Ratio]]</f>
        <v>0</v>
      </c>
      <c r="H229" s="12"/>
      <c r="I229" s="10">
        <f>RITable[[#This Row],[Price (3y)]]/RITable[[#This Row],[Ratio]] / 3</f>
        <v>0</v>
      </c>
    </row>
    <row r="230" spans="1:9" x14ac:dyDescent="0.3">
      <c r="A230" t="s">
        <v>210</v>
      </c>
      <c r="B230" t="s">
        <v>218</v>
      </c>
      <c r="C230">
        <v>48</v>
      </c>
      <c r="E230" s="12"/>
      <c r="F230" s="11">
        <f>RITable[[#This Row],[Price (1y)]]/RITable[[#This Row],[Ratio]]</f>
        <v>0</v>
      </c>
      <c r="H230" s="12"/>
      <c r="I230" s="10">
        <f>RITable[[#This Row],[Price (3y)]]/RITable[[#This Row],[Ratio]] / 3</f>
        <v>0</v>
      </c>
    </row>
    <row r="231" spans="1:9" x14ac:dyDescent="0.3">
      <c r="A231" t="s">
        <v>219</v>
      </c>
      <c r="B231" t="s">
        <v>220</v>
      </c>
      <c r="C231">
        <v>1</v>
      </c>
      <c r="E231" s="12"/>
      <c r="F231" s="11">
        <f>RITable[[#This Row],[Price (1y)]]/RITable[[#This Row],[Ratio]]</f>
        <v>0</v>
      </c>
      <c r="H231" s="12"/>
      <c r="I231" s="10">
        <f>RITable[[#This Row],[Price (3y)]]/RITable[[#This Row],[Ratio]] / 3</f>
        <v>0</v>
      </c>
    </row>
    <row r="232" spans="1:9" x14ac:dyDescent="0.3">
      <c r="A232" t="s">
        <v>219</v>
      </c>
      <c r="B232" t="s">
        <v>221</v>
      </c>
      <c r="C232">
        <v>2</v>
      </c>
      <c r="E232" s="12"/>
      <c r="F232" s="11">
        <f>RITable[[#This Row],[Price (1y)]]/RITable[[#This Row],[Ratio]]</f>
        <v>0</v>
      </c>
      <c r="H232" s="12"/>
      <c r="I232" s="10">
        <f>RITable[[#This Row],[Price (3y)]]/RITable[[#This Row],[Ratio]] / 3</f>
        <v>0</v>
      </c>
    </row>
    <row r="233" spans="1:9" x14ac:dyDescent="0.3">
      <c r="A233" t="s">
        <v>219</v>
      </c>
      <c r="B233" t="s">
        <v>222</v>
      </c>
      <c r="C233">
        <v>4</v>
      </c>
      <c r="E233" s="12"/>
      <c r="F233" s="11">
        <f>RITable[[#This Row],[Price (1y)]]/RITable[[#This Row],[Ratio]]</f>
        <v>0</v>
      </c>
      <c r="H233" s="12"/>
      <c r="I233" s="10">
        <f>RITable[[#This Row],[Price (3y)]]/RITable[[#This Row],[Ratio]] / 3</f>
        <v>0</v>
      </c>
    </row>
    <row r="234" spans="1:9" x14ac:dyDescent="0.3">
      <c r="A234" t="s">
        <v>219</v>
      </c>
      <c r="B234" t="s">
        <v>223</v>
      </c>
      <c r="C234">
        <v>8</v>
      </c>
      <c r="E234" s="12"/>
      <c r="F234" s="11">
        <f>RITable[[#This Row],[Price (1y)]]/RITable[[#This Row],[Ratio]]</f>
        <v>0</v>
      </c>
      <c r="H234" s="12"/>
      <c r="I234" s="10">
        <f>RITable[[#This Row],[Price (3y)]]/RITable[[#This Row],[Ratio]] / 3</f>
        <v>0</v>
      </c>
    </row>
    <row r="235" spans="1:9" x14ac:dyDescent="0.3">
      <c r="A235" t="s">
        <v>219</v>
      </c>
      <c r="B235" t="s">
        <v>224</v>
      </c>
      <c r="C235">
        <v>16</v>
      </c>
      <c r="E235" s="12"/>
      <c r="F235" s="11">
        <f>RITable[[#This Row],[Price (1y)]]/RITable[[#This Row],[Ratio]]</f>
        <v>0</v>
      </c>
      <c r="H235" s="12"/>
      <c r="I235" s="10">
        <f>RITable[[#This Row],[Price (3y)]]/RITable[[#This Row],[Ratio]] / 3</f>
        <v>0</v>
      </c>
    </row>
    <row r="236" spans="1:9" x14ac:dyDescent="0.3">
      <c r="A236" t="s">
        <v>219</v>
      </c>
      <c r="B236" t="s">
        <v>225</v>
      </c>
      <c r="C236">
        <v>24</v>
      </c>
      <c r="E236" s="12"/>
      <c r="F236" s="11">
        <f>RITable[[#This Row],[Price (1y)]]/RITable[[#This Row],[Ratio]]</f>
        <v>0</v>
      </c>
      <c r="H236" s="12"/>
      <c r="I236" s="10">
        <f>RITable[[#This Row],[Price (3y)]]/RITable[[#This Row],[Ratio]] / 3</f>
        <v>0</v>
      </c>
    </row>
    <row r="237" spans="1:9" x14ac:dyDescent="0.3">
      <c r="A237" t="s">
        <v>219</v>
      </c>
      <c r="B237" t="s">
        <v>226</v>
      </c>
      <c r="C237">
        <v>32</v>
      </c>
      <c r="E237" s="12"/>
      <c r="F237" s="11">
        <f>RITable[[#This Row],[Price (1y)]]/RITable[[#This Row],[Ratio]]</f>
        <v>0</v>
      </c>
      <c r="H237" s="12"/>
      <c r="I237" s="10">
        <f>RITable[[#This Row],[Price (3y)]]/RITable[[#This Row],[Ratio]] / 3</f>
        <v>0</v>
      </c>
    </row>
    <row r="238" spans="1:9" x14ac:dyDescent="0.3">
      <c r="A238" t="s">
        <v>219</v>
      </c>
      <c r="B238" t="s">
        <v>227</v>
      </c>
      <c r="C238">
        <v>48</v>
      </c>
      <c r="E238" s="12"/>
      <c r="F238" s="11">
        <f>RITable[[#This Row],[Price (1y)]]/RITable[[#This Row],[Ratio]]</f>
        <v>0</v>
      </c>
      <c r="H238" s="12"/>
      <c r="I238" s="10">
        <f>RITable[[#This Row],[Price (3y)]]/RITable[[#This Row],[Ratio]] / 3</f>
        <v>0</v>
      </c>
    </row>
    <row r="239" spans="1:9" x14ac:dyDescent="0.3">
      <c r="A239" t="s">
        <v>228</v>
      </c>
      <c r="B239" t="s">
        <v>229</v>
      </c>
      <c r="C239">
        <v>1</v>
      </c>
      <c r="E239" s="12"/>
      <c r="F239" s="11">
        <f>RITable[[#This Row],[Price (1y)]]/RITable[[#This Row],[Ratio]]</f>
        <v>0</v>
      </c>
      <c r="H239" s="12"/>
      <c r="I239" s="10">
        <f>RITable[[#This Row],[Price (3y)]]/RITable[[#This Row],[Ratio]] / 3</f>
        <v>0</v>
      </c>
    </row>
    <row r="240" spans="1:9" x14ac:dyDescent="0.3">
      <c r="A240" t="s">
        <v>228</v>
      </c>
      <c r="B240" t="s">
        <v>230</v>
      </c>
      <c r="C240">
        <v>2</v>
      </c>
      <c r="E240" s="12"/>
      <c r="F240" s="11">
        <f>RITable[[#This Row],[Price (1y)]]/RITable[[#This Row],[Ratio]]</f>
        <v>0</v>
      </c>
      <c r="H240" s="12"/>
      <c r="I240" s="10">
        <f>RITable[[#This Row],[Price (3y)]]/RITable[[#This Row],[Ratio]] / 3</f>
        <v>0</v>
      </c>
    </row>
    <row r="241" spans="1:9" x14ac:dyDescent="0.3">
      <c r="A241" t="s">
        <v>228</v>
      </c>
      <c r="B241" t="s">
        <v>231</v>
      </c>
      <c r="C241">
        <v>4</v>
      </c>
      <c r="E241" s="12"/>
      <c r="F241" s="11">
        <f>RITable[[#This Row],[Price (1y)]]/RITable[[#This Row],[Ratio]]</f>
        <v>0</v>
      </c>
      <c r="H241" s="12"/>
      <c r="I241" s="10">
        <f>RITable[[#This Row],[Price (3y)]]/RITable[[#This Row],[Ratio]] / 3</f>
        <v>0</v>
      </c>
    </row>
    <row r="242" spans="1:9" x14ac:dyDescent="0.3">
      <c r="A242" t="s">
        <v>228</v>
      </c>
      <c r="B242" t="s">
        <v>232</v>
      </c>
      <c r="C242">
        <v>8</v>
      </c>
      <c r="E242" s="12"/>
      <c r="F242" s="11">
        <f>RITable[[#This Row],[Price (1y)]]/RITable[[#This Row],[Ratio]]</f>
        <v>0</v>
      </c>
      <c r="H242" s="12"/>
      <c r="I242" s="10">
        <f>RITable[[#This Row],[Price (3y)]]/RITable[[#This Row],[Ratio]] / 3</f>
        <v>0</v>
      </c>
    </row>
    <row r="243" spans="1:9" x14ac:dyDescent="0.3">
      <c r="A243" t="s">
        <v>228</v>
      </c>
      <c r="B243" t="s">
        <v>233</v>
      </c>
      <c r="C243">
        <v>16</v>
      </c>
      <c r="E243" s="12"/>
      <c r="F243" s="11">
        <f>RITable[[#This Row],[Price (1y)]]/RITable[[#This Row],[Ratio]]</f>
        <v>0</v>
      </c>
      <c r="H243" s="12"/>
      <c r="I243" s="10">
        <f>RITable[[#This Row],[Price (3y)]]/RITable[[#This Row],[Ratio]] / 3</f>
        <v>0</v>
      </c>
    </row>
    <row r="244" spans="1:9" x14ac:dyDescent="0.3">
      <c r="A244" t="s">
        <v>228</v>
      </c>
      <c r="B244" t="s">
        <v>234</v>
      </c>
      <c r="C244">
        <v>24</v>
      </c>
      <c r="E244" s="12"/>
      <c r="F244" s="11">
        <f>RITable[[#This Row],[Price (1y)]]/RITable[[#This Row],[Ratio]]</f>
        <v>0</v>
      </c>
      <c r="H244" s="12"/>
      <c r="I244" s="10">
        <f>RITable[[#This Row],[Price (3y)]]/RITable[[#This Row],[Ratio]] / 3</f>
        <v>0</v>
      </c>
    </row>
    <row r="245" spans="1:9" x14ac:dyDescent="0.3">
      <c r="A245" t="s">
        <v>228</v>
      </c>
      <c r="B245" t="s">
        <v>235</v>
      </c>
      <c r="C245">
        <v>32</v>
      </c>
      <c r="E245" s="12"/>
      <c r="F245" s="11">
        <f>RITable[[#This Row],[Price (1y)]]/RITable[[#This Row],[Ratio]]</f>
        <v>0</v>
      </c>
      <c r="H245" s="12"/>
      <c r="I245" s="10">
        <f>RITable[[#This Row],[Price (3y)]]/RITable[[#This Row],[Ratio]] / 3</f>
        <v>0</v>
      </c>
    </row>
    <row r="246" spans="1:9" x14ac:dyDescent="0.3">
      <c r="A246" t="s">
        <v>228</v>
      </c>
      <c r="B246" t="s">
        <v>236</v>
      </c>
      <c r="C246">
        <v>48</v>
      </c>
      <c r="E246" s="12"/>
      <c r="F246" s="11">
        <f>RITable[[#This Row],[Price (1y)]]/RITable[[#This Row],[Ratio]]</f>
        <v>0</v>
      </c>
      <c r="H246" s="12"/>
      <c r="I246" s="10">
        <f>RITable[[#This Row],[Price (3y)]]/RITable[[#This Row],[Ratio]] / 3</f>
        <v>0</v>
      </c>
    </row>
    <row r="247" spans="1:9" x14ac:dyDescent="0.3">
      <c r="A247" t="s">
        <v>1036</v>
      </c>
      <c r="B247" t="s">
        <v>1037</v>
      </c>
      <c r="C247">
        <v>1</v>
      </c>
      <c r="E247" s="12"/>
      <c r="F247" s="11">
        <f>RITable[[#This Row],[Price (1y)]]/RITable[[#This Row],[Ratio]]</f>
        <v>0</v>
      </c>
      <c r="H247" s="12"/>
      <c r="I247" s="10">
        <f>RITable[[#This Row],[Price (3y)]]/RITable[[#This Row],[Ratio]] / 3</f>
        <v>0</v>
      </c>
    </row>
    <row r="248" spans="1:9" x14ac:dyDescent="0.3">
      <c r="A248" t="s">
        <v>237</v>
      </c>
      <c r="B248" t="s">
        <v>238</v>
      </c>
      <c r="C248">
        <v>1</v>
      </c>
      <c r="E248" s="12"/>
      <c r="F248" s="11">
        <f>RITable[[#This Row],[Price (1y)]]/RITable[[#This Row],[Ratio]]</f>
        <v>0</v>
      </c>
      <c r="H248" s="12"/>
      <c r="I248" s="10">
        <f>RITable[[#This Row],[Price (3y)]]/RITable[[#This Row],[Ratio]] / 3</f>
        <v>0</v>
      </c>
    </row>
    <row r="249" spans="1:9" x14ac:dyDescent="0.3">
      <c r="A249" t="s">
        <v>237</v>
      </c>
      <c r="B249" t="s">
        <v>239</v>
      </c>
      <c r="C249">
        <v>2</v>
      </c>
      <c r="E249" s="12"/>
      <c r="F249" s="11">
        <f>RITable[[#This Row],[Price (1y)]]/RITable[[#This Row],[Ratio]]</f>
        <v>0</v>
      </c>
      <c r="H249" s="12"/>
      <c r="I249" s="10">
        <f>RITable[[#This Row],[Price (3y)]]/RITable[[#This Row],[Ratio]] / 3</f>
        <v>0</v>
      </c>
    </row>
    <row r="250" spans="1:9" x14ac:dyDescent="0.3">
      <c r="A250" t="s">
        <v>237</v>
      </c>
      <c r="B250" t="s">
        <v>240</v>
      </c>
      <c r="C250">
        <v>4</v>
      </c>
      <c r="E250" s="12"/>
      <c r="F250" s="11">
        <f>RITable[[#This Row],[Price (1y)]]/RITable[[#This Row],[Ratio]]</f>
        <v>0</v>
      </c>
      <c r="H250" s="12"/>
      <c r="I250" s="10">
        <f>RITable[[#This Row],[Price (3y)]]/RITable[[#This Row],[Ratio]] / 3</f>
        <v>0</v>
      </c>
    </row>
    <row r="251" spans="1:9" x14ac:dyDescent="0.3">
      <c r="A251" t="s">
        <v>237</v>
      </c>
      <c r="B251" t="s">
        <v>241</v>
      </c>
      <c r="C251">
        <v>8</v>
      </c>
      <c r="E251" s="12"/>
      <c r="F251" s="11">
        <f>RITable[[#This Row],[Price (1y)]]/RITable[[#This Row],[Ratio]]</f>
        <v>0</v>
      </c>
      <c r="H251" s="12"/>
      <c r="I251" s="10">
        <f>RITable[[#This Row],[Price (3y)]]/RITable[[#This Row],[Ratio]] / 3</f>
        <v>0</v>
      </c>
    </row>
    <row r="252" spans="1:9" x14ac:dyDescent="0.3">
      <c r="A252" t="s">
        <v>237</v>
      </c>
      <c r="B252" t="s">
        <v>242</v>
      </c>
      <c r="C252">
        <v>16</v>
      </c>
      <c r="E252" s="12"/>
      <c r="F252" s="11">
        <f>RITable[[#This Row],[Price (1y)]]/RITable[[#This Row],[Ratio]]</f>
        <v>0</v>
      </c>
      <c r="H252" s="12"/>
      <c r="I252" s="10">
        <f>RITable[[#This Row],[Price (3y)]]/RITable[[#This Row],[Ratio]] / 3</f>
        <v>0</v>
      </c>
    </row>
    <row r="253" spans="1:9" x14ac:dyDescent="0.3">
      <c r="A253" t="s">
        <v>237</v>
      </c>
      <c r="B253" t="s">
        <v>243</v>
      </c>
      <c r="C253">
        <v>24</v>
      </c>
      <c r="E253" s="12"/>
      <c r="F253" s="11">
        <f>RITable[[#This Row],[Price (1y)]]/RITable[[#This Row],[Ratio]]</f>
        <v>0</v>
      </c>
      <c r="H253" s="12"/>
      <c r="I253" s="10">
        <f>RITable[[#This Row],[Price (3y)]]/RITable[[#This Row],[Ratio]] / 3</f>
        <v>0</v>
      </c>
    </row>
    <row r="254" spans="1:9" x14ac:dyDescent="0.3">
      <c r="A254" t="s">
        <v>237</v>
      </c>
      <c r="B254" t="s">
        <v>244</v>
      </c>
      <c r="C254">
        <v>32</v>
      </c>
      <c r="E254" s="12"/>
      <c r="F254" s="11">
        <f>RITable[[#This Row],[Price (1y)]]/RITable[[#This Row],[Ratio]]</f>
        <v>0</v>
      </c>
      <c r="H254" s="12"/>
      <c r="I254" s="10">
        <f>RITable[[#This Row],[Price (3y)]]/RITable[[#This Row],[Ratio]] / 3</f>
        <v>0</v>
      </c>
    </row>
    <row r="255" spans="1:9" x14ac:dyDescent="0.3">
      <c r="A255" t="s">
        <v>237</v>
      </c>
      <c r="B255" t="s">
        <v>245</v>
      </c>
      <c r="C255">
        <v>48</v>
      </c>
      <c r="E255" s="12"/>
      <c r="F255" s="11">
        <f>RITable[[#This Row],[Price (1y)]]/RITable[[#This Row],[Ratio]]</f>
        <v>0</v>
      </c>
      <c r="H255" s="12"/>
      <c r="I255" s="10">
        <f>RITable[[#This Row],[Price (3y)]]/RITable[[#This Row],[Ratio]] / 3</f>
        <v>0</v>
      </c>
    </row>
    <row r="256" spans="1:9" x14ac:dyDescent="0.3">
      <c r="A256" t="s">
        <v>38</v>
      </c>
      <c r="B256" t="s">
        <v>246</v>
      </c>
      <c r="C256">
        <v>1</v>
      </c>
      <c r="E256" s="12"/>
      <c r="F256" s="11">
        <f>RITable[[#This Row],[Price (1y)]]/RITable[[#This Row],[Ratio]]</f>
        <v>0</v>
      </c>
      <c r="H256" s="12"/>
      <c r="I256" s="10">
        <f>RITable[[#This Row],[Price (3y)]]/RITable[[#This Row],[Ratio]] / 3</f>
        <v>0</v>
      </c>
    </row>
    <row r="257" spans="1:9" x14ac:dyDescent="0.3">
      <c r="A257" t="s">
        <v>38</v>
      </c>
      <c r="B257" t="s">
        <v>247</v>
      </c>
      <c r="C257">
        <v>2</v>
      </c>
      <c r="E257" s="12"/>
      <c r="F257" s="11">
        <f>RITable[[#This Row],[Price (1y)]]/RITable[[#This Row],[Ratio]]</f>
        <v>0</v>
      </c>
      <c r="H257" s="12"/>
      <c r="I257" s="10">
        <f>RITable[[#This Row],[Price (3y)]]/RITable[[#This Row],[Ratio]] / 3</f>
        <v>0</v>
      </c>
    </row>
    <row r="258" spans="1:9" x14ac:dyDescent="0.3">
      <c r="A258" t="s">
        <v>38</v>
      </c>
      <c r="B258" t="s">
        <v>248</v>
      </c>
      <c r="C258">
        <v>4</v>
      </c>
      <c r="E258" s="12"/>
      <c r="F258" s="11">
        <f>RITable[[#This Row],[Price (1y)]]/RITable[[#This Row],[Ratio]]</f>
        <v>0</v>
      </c>
      <c r="H258" s="12"/>
      <c r="I258" s="10">
        <f>RITable[[#This Row],[Price (3y)]]/RITable[[#This Row],[Ratio]] / 3</f>
        <v>0</v>
      </c>
    </row>
    <row r="259" spans="1:9" x14ac:dyDescent="0.3">
      <c r="A259" t="s">
        <v>38</v>
      </c>
      <c r="B259" t="s">
        <v>249</v>
      </c>
      <c r="C259">
        <v>8</v>
      </c>
      <c r="E259" s="12"/>
      <c r="F259" s="11">
        <f>RITable[[#This Row],[Price (1y)]]/RITable[[#This Row],[Ratio]]</f>
        <v>0</v>
      </c>
      <c r="H259" s="12"/>
      <c r="I259" s="10">
        <f>RITable[[#This Row],[Price (3y)]]/RITable[[#This Row],[Ratio]] / 3</f>
        <v>0</v>
      </c>
    </row>
    <row r="260" spans="1:9" x14ac:dyDescent="0.3">
      <c r="A260" t="s">
        <v>38</v>
      </c>
      <c r="B260" t="s">
        <v>250</v>
      </c>
      <c r="C260">
        <v>16</v>
      </c>
      <c r="E260" s="12"/>
      <c r="F260" s="11">
        <f>RITable[[#This Row],[Price (1y)]]/RITable[[#This Row],[Ratio]]</f>
        <v>0</v>
      </c>
      <c r="H260" s="12"/>
      <c r="I260" s="10">
        <f>RITable[[#This Row],[Price (3y)]]/RITable[[#This Row],[Ratio]] / 3</f>
        <v>0</v>
      </c>
    </row>
    <row r="261" spans="1:9" x14ac:dyDescent="0.3">
      <c r="A261" t="s">
        <v>38</v>
      </c>
      <c r="B261" t="s">
        <v>251</v>
      </c>
      <c r="C261">
        <v>24</v>
      </c>
      <c r="E261" s="12"/>
      <c r="F261" s="11">
        <f>RITable[[#This Row],[Price (1y)]]/RITable[[#This Row],[Ratio]]</f>
        <v>0</v>
      </c>
      <c r="H261" s="12"/>
      <c r="I261" s="10">
        <f>RITable[[#This Row],[Price (3y)]]/RITable[[#This Row],[Ratio]] / 3</f>
        <v>0</v>
      </c>
    </row>
    <row r="262" spans="1:9" x14ac:dyDescent="0.3">
      <c r="A262" t="s">
        <v>38</v>
      </c>
      <c r="B262" t="s">
        <v>252</v>
      </c>
      <c r="C262">
        <v>32</v>
      </c>
      <c r="E262" s="12"/>
      <c r="F262" s="11">
        <f>RITable[[#This Row],[Price (1y)]]/RITable[[#This Row],[Ratio]]</f>
        <v>0</v>
      </c>
      <c r="H262" s="12"/>
      <c r="I262" s="10">
        <f>RITable[[#This Row],[Price (3y)]]/RITable[[#This Row],[Ratio]] / 3</f>
        <v>0</v>
      </c>
    </row>
    <row r="263" spans="1:9" x14ac:dyDescent="0.3">
      <c r="A263" t="s">
        <v>253</v>
      </c>
      <c r="B263" t="s">
        <v>254</v>
      </c>
      <c r="C263">
        <v>1</v>
      </c>
      <c r="E263" s="12"/>
      <c r="F263" s="11">
        <f>RITable[[#This Row],[Price (1y)]]/RITable[[#This Row],[Ratio]]</f>
        <v>0</v>
      </c>
      <c r="H263" s="12"/>
      <c r="I263" s="10">
        <f>RITable[[#This Row],[Price (3y)]]/RITable[[#This Row],[Ratio]] / 3</f>
        <v>0</v>
      </c>
    </row>
    <row r="264" spans="1:9" x14ac:dyDescent="0.3">
      <c r="A264" t="s">
        <v>253</v>
      </c>
      <c r="B264" t="s">
        <v>255</v>
      </c>
      <c r="C264">
        <v>1.1875</v>
      </c>
      <c r="E264" s="12"/>
      <c r="F264" s="11">
        <f>RITable[[#This Row],[Price (1y)]]/RITable[[#This Row],[Ratio]]</f>
        <v>0</v>
      </c>
      <c r="H264" s="12"/>
      <c r="I264" s="10">
        <f>RITable[[#This Row],[Price (3y)]]/RITable[[#This Row],[Ratio]] / 3</f>
        <v>0</v>
      </c>
    </row>
    <row r="265" spans="1:9" x14ac:dyDescent="0.3">
      <c r="A265" t="s">
        <v>256</v>
      </c>
      <c r="B265" t="s">
        <v>257</v>
      </c>
      <c r="C265">
        <v>1</v>
      </c>
      <c r="E265" s="12"/>
      <c r="F265" s="11">
        <f>RITable[[#This Row],[Price (1y)]]/RITable[[#This Row],[Ratio]]</f>
        <v>0</v>
      </c>
      <c r="H265" s="12"/>
      <c r="I265" s="10">
        <f>RITable[[#This Row],[Price (3y)]]/RITable[[#This Row],[Ratio]] / 3</f>
        <v>0</v>
      </c>
    </row>
    <row r="266" spans="1:9" x14ac:dyDescent="0.3">
      <c r="A266" t="s">
        <v>256</v>
      </c>
      <c r="B266" t="s">
        <v>258</v>
      </c>
      <c r="C266">
        <v>2</v>
      </c>
      <c r="E266" s="12"/>
      <c r="F266" s="11">
        <f>RITable[[#This Row],[Price (1y)]]/RITable[[#This Row],[Ratio]]</f>
        <v>0</v>
      </c>
      <c r="H266" s="12"/>
      <c r="I266" s="10">
        <f>RITable[[#This Row],[Price (3y)]]/RITable[[#This Row],[Ratio]] / 3</f>
        <v>0</v>
      </c>
    </row>
    <row r="267" spans="1:9" x14ac:dyDescent="0.3">
      <c r="A267" t="s">
        <v>256</v>
      </c>
      <c r="B267" t="s">
        <v>259</v>
      </c>
      <c r="C267">
        <v>4</v>
      </c>
      <c r="E267" s="12"/>
      <c r="F267" s="11">
        <f>RITable[[#This Row],[Price (1y)]]/RITable[[#This Row],[Ratio]]</f>
        <v>0</v>
      </c>
      <c r="H267" s="12"/>
      <c r="I267" s="10">
        <f>RITable[[#This Row],[Price (3y)]]/RITable[[#This Row],[Ratio]] / 3</f>
        <v>0</v>
      </c>
    </row>
    <row r="268" spans="1:9" x14ac:dyDescent="0.3">
      <c r="A268" t="s">
        <v>256</v>
      </c>
      <c r="B268" t="s">
        <v>260</v>
      </c>
      <c r="C268">
        <v>8</v>
      </c>
      <c r="E268" s="12"/>
      <c r="F268" s="11">
        <f>RITable[[#This Row],[Price (1y)]]/RITable[[#This Row],[Ratio]]</f>
        <v>0</v>
      </c>
      <c r="H268" s="12"/>
      <c r="I268" s="10">
        <f>RITable[[#This Row],[Price (3y)]]/RITable[[#This Row],[Ratio]] / 3</f>
        <v>0</v>
      </c>
    </row>
    <row r="269" spans="1:9" x14ac:dyDescent="0.3">
      <c r="A269" t="s">
        <v>256</v>
      </c>
      <c r="B269" t="s">
        <v>261</v>
      </c>
      <c r="C269">
        <v>16</v>
      </c>
      <c r="E269" s="12"/>
      <c r="F269" s="11">
        <f>RITable[[#This Row],[Price (1y)]]/RITable[[#This Row],[Ratio]]</f>
        <v>0</v>
      </c>
      <c r="H269" s="12"/>
      <c r="I269" s="10">
        <f>RITable[[#This Row],[Price (3y)]]/RITable[[#This Row],[Ratio]] / 3</f>
        <v>0</v>
      </c>
    </row>
    <row r="270" spans="1:9" x14ac:dyDescent="0.3">
      <c r="A270" t="s">
        <v>256</v>
      </c>
      <c r="B270" t="s">
        <v>262</v>
      </c>
      <c r="C270">
        <v>24</v>
      </c>
      <c r="E270" s="12"/>
      <c r="F270" s="11">
        <f>RITable[[#This Row],[Price (1y)]]/RITable[[#This Row],[Ratio]]</f>
        <v>0</v>
      </c>
      <c r="H270" s="12"/>
      <c r="I270" s="10">
        <f>RITable[[#This Row],[Price (3y)]]/RITable[[#This Row],[Ratio]] / 3</f>
        <v>0</v>
      </c>
    </row>
    <row r="271" spans="1:9" x14ac:dyDescent="0.3">
      <c r="A271" t="s">
        <v>256</v>
      </c>
      <c r="B271" t="s">
        <v>263</v>
      </c>
      <c r="C271">
        <v>32</v>
      </c>
      <c r="E271" s="12"/>
      <c r="F271" s="11">
        <f>RITable[[#This Row],[Price (1y)]]/RITable[[#This Row],[Ratio]]</f>
        <v>0</v>
      </c>
      <c r="H271" s="12"/>
      <c r="I271" s="10">
        <f>RITable[[#This Row],[Price (3y)]]/RITable[[#This Row],[Ratio]] / 3</f>
        <v>0</v>
      </c>
    </row>
    <row r="272" spans="1:9" x14ac:dyDescent="0.3">
      <c r="A272" t="s">
        <v>256</v>
      </c>
      <c r="B272" t="s">
        <v>264</v>
      </c>
      <c r="C272">
        <v>48</v>
      </c>
      <c r="E272" s="12"/>
      <c r="F272" s="11">
        <f>RITable[[#This Row],[Price (1y)]]/RITable[[#This Row],[Ratio]]</f>
        <v>0</v>
      </c>
      <c r="H272" s="12"/>
      <c r="I272" s="10">
        <f>RITable[[#This Row],[Price (3y)]]/RITable[[#This Row],[Ratio]] / 3</f>
        <v>0</v>
      </c>
    </row>
    <row r="273" spans="1:9" x14ac:dyDescent="0.3">
      <c r="A273" t="s">
        <v>1038</v>
      </c>
      <c r="B273" t="s">
        <v>1039</v>
      </c>
      <c r="C273">
        <v>1</v>
      </c>
      <c r="E273" s="12"/>
      <c r="F273" s="11">
        <f>RITable[[#This Row],[Price (1y)]]/RITable[[#This Row],[Ratio]]</f>
        <v>0</v>
      </c>
      <c r="H273" s="12"/>
      <c r="I273" s="10">
        <f>RITable[[#This Row],[Price (3y)]]/RITable[[#This Row],[Ratio]] / 3</f>
        <v>0</v>
      </c>
    </row>
    <row r="274" spans="1:9" x14ac:dyDescent="0.3">
      <c r="A274" t="s">
        <v>265</v>
      </c>
      <c r="B274" t="s">
        <v>266</v>
      </c>
      <c r="C274">
        <v>1</v>
      </c>
      <c r="E274" s="12"/>
      <c r="F274" s="11">
        <f>RITable[[#This Row],[Price (1y)]]/RITable[[#This Row],[Ratio]]</f>
        <v>0</v>
      </c>
      <c r="H274" s="12"/>
      <c r="I274" s="10">
        <f>RITable[[#This Row],[Price (3y)]]/RITable[[#This Row],[Ratio]] / 3</f>
        <v>0</v>
      </c>
    </row>
    <row r="275" spans="1:9" x14ac:dyDescent="0.3">
      <c r="A275" t="s">
        <v>265</v>
      </c>
      <c r="B275" t="s">
        <v>267</v>
      </c>
      <c r="C275">
        <v>2</v>
      </c>
      <c r="E275" s="12"/>
      <c r="F275" s="11">
        <f>RITable[[#This Row],[Price (1y)]]/RITable[[#This Row],[Ratio]]</f>
        <v>0</v>
      </c>
      <c r="H275" s="12"/>
      <c r="I275" s="10">
        <f>RITable[[#This Row],[Price (3y)]]/RITable[[#This Row],[Ratio]] / 3</f>
        <v>0</v>
      </c>
    </row>
    <row r="276" spans="1:9" x14ac:dyDescent="0.3">
      <c r="A276" t="s">
        <v>265</v>
      </c>
      <c r="B276" t="s">
        <v>268</v>
      </c>
      <c r="C276">
        <v>4</v>
      </c>
      <c r="E276" s="12"/>
      <c r="F276" s="11">
        <f>RITable[[#This Row],[Price (1y)]]/RITable[[#This Row],[Ratio]]</f>
        <v>0</v>
      </c>
      <c r="H276" s="12"/>
      <c r="I276" s="10">
        <f>RITable[[#This Row],[Price (3y)]]/RITable[[#This Row],[Ratio]] / 3</f>
        <v>0</v>
      </c>
    </row>
    <row r="277" spans="1:9" x14ac:dyDescent="0.3">
      <c r="A277" t="s">
        <v>265</v>
      </c>
      <c r="B277" t="s">
        <v>269</v>
      </c>
      <c r="C277">
        <v>8</v>
      </c>
      <c r="E277" s="12"/>
      <c r="F277" s="11">
        <f>RITable[[#This Row],[Price (1y)]]/RITable[[#This Row],[Ratio]]</f>
        <v>0</v>
      </c>
      <c r="H277" s="12"/>
      <c r="I277" s="10">
        <f>RITable[[#This Row],[Price (3y)]]/RITable[[#This Row],[Ratio]] / 3</f>
        <v>0</v>
      </c>
    </row>
    <row r="278" spans="1:9" x14ac:dyDescent="0.3">
      <c r="A278" t="s">
        <v>265</v>
      </c>
      <c r="B278" t="s">
        <v>270</v>
      </c>
      <c r="C278">
        <v>16</v>
      </c>
      <c r="E278" s="12"/>
      <c r="F278" s="11">
        <f>RITable[[#This Row],[Price (1y)]]/RITable[[#This Row],[Ratio]]</f>
        <v>0</v>
      </c>
      <c r="H278" s="12"/>
      <c r="I278" s="10">
        <f>RITable[[#This Row],[Price (3y)]]/RITable[[#This Row],[Ratio]] / 3</f>
        <v>0</v>
      </c>
    </row>
    <row r="279" spans="1:9" x14ac:dyDescent="0.3">
      <c r="A279" t="s">
        <v>265</v>
      </c>
      <c r="B279" t="s">
        <v>271</v>
      </c>
      <c r="C279">
        <v>24</v>
      </c>
      <c r="E279" s="12"/>
      <c r="F279" s="11">
        <f>RITable[[#This Row],[Price (1y)]]/RITable[[#This Row],[Ratio]]</f>
        <v>0</v>
      </c>
      <c r="H279" s="12"/>
      <c r="I279" s="10">
        <f>RITable[[#This Row],[Price (3y)]]/RITable[[#This Row],[Ratio]] / 3</f>
        <v>0</v>
      </c>
    </row>
    <row r="280" spans="1:9" x14ac:dyDescent="0.3">
      <c r="A280" t="s">
        <v>265</v>
      </c>
      <c r="B280" t="s">
        <v>272</v>
      </c>
      <c r="C280">
        <v>32</v>
      </c>
      <c r="E280" s="12"/>
      <c r="F280" s="11">
        <f>RITable[[#This Row],[Price (1y)]]/RITable[[#This Row],[Ratio]]</f>
        <v>0</v>
      </c>
      <c r="H280" s="12"/>
      <c r="I280" s="10">
        <f>RITable[[#This Row],[Price (3y)]]/RITable[[#This Row],[Ratio]] / 3</f>
        <v>0</v>
      </c>
    </row>
    <row r="281" spans="1:9" x14ac:dyDescent="0.3">
      <c r="A281" t="s">
        <v>273</v>
      </c>
      <c r="B281" t="s">
        <v>274</v>
      </c>
      <c r="C281">
        <v>1</v>
      </c>
      <c r="E281" s="12"/>
      <c r="F281" s="11">
        <f>RITable[[#This Row],[Price (1y)]]/RITable[[#This Row],[Ratio]]</f>
        <v>0</v>
      </c>
      <c r="H281" s="12"/>
      <c r="I281" s="10">
        <f>RITable[[#This Row],[Price (3y)]]/RITable[[#This Row],[Ratio]] / 3</f>
        <v>0</v>
      </c>
    </row>
    <row r="282" spans="1:9" x14ac:dyDescent="0.3">
      <c r="A282" t="s">
        <v>273</v>
      </c>
      <c r="B282" t="s">
        <v>275</v>
      </c>
      <c r="C282">
        <v>2</v>
      </c>
      <c r="E282" s="12"/>
      <c r="F282" s="11">
        <f>RITable[[#This Row],[Price (1y)]]/RITable[[#This Row],[Ratio]]</f>
        <v>0</v>
      </c>
      <c r="H282" s="12"/>
      <c r="I282" s="10">
        <f>RITable[[#This Row],[Price (3y)]]/RITable[[#This Row],[Ratio]] / 3</f>
        <v>0</v>
      </c>
    </row>
    <row r="283" spans="1:9" x14ac:dyDescent="0.3">
      <c r="A283" t="s">
        <v>273</v>
      </c>
      <c r="B283" t="s">
        <v>276</v>
      </c>
      <c r="C283">
        <v>4</v>
      </c>
      <c r="E283" s="12"/>
      <c r="F283" s="11">
        <f>RITable[[#This Row],[Price (1y)]]/RITable[[#This Row],[Ratio]]</f>
        <v>0</v>
      </c>
      <c r="H283" s="12"/>
      <c r="I283" s="10">
        <f>RITable[[#This Row],[Price (3y)]]/RITable[[#This Row],[Ratio]] / 3</f>
        <v>0</v>
      </c>
    </row>
    <row r="284" spans="1:9" x14ac:dyDescent="0.3">
      <c r="A284" t="s">
        <v>273</v>
      </c>
      <c r="B284" t="s">
        <v>277</v>
      </c>
      <c r="C284">
        <v>8</v>
      </c>
      <c r="E284" s="12"/>
      <c r="F284" s="11">
        <f>RITable[[#This Row],[Price (1y)]]/RITable[[#This Row],[Ratio]]</f>
        <v>0</v>
      </c>
      <c r="H284" s="12"/>
      <c r="I284" s="10">
        <f>RITable[[#This Row],[Price (3y)]]/RITable[[#This Row],[Ratio]] / 3</f>
        <v>0</v>
      </c>
    </row>
    <row r="285" spans="1:9" x14ac:dyDescent="0.3">
      <c r="A285" t="s">
        <v>273</v>
      </c>
      <c r="B285" t="s">
        <v>278</v>
      </c>
      <c r="C285">
        <v>16</v>
      </c>
      <c r="E285" s="12"/>
      <c r="F285" s="11">
        <f>RITable[[#This Row],[Price (1y)]]/RITable[[#This Row],[Ratio]]</f>
        <v>0</v>
      </c>
      <c r="H285" s="12"/>
      <c r="I285" s="10">
        <f>RITable[[#This Row],[Price (3y)]]/RITable[[#This Row],[Ratio]] / 3</f>
        <v>0</v>
      </c>
    </row>
    <row r="286" spans="1:9" x14ac:dyDescent="0.3">
      <c r="A286" t="s">
        <v>273</v>
      </c>
      <c r="B286" t="s">
        <v>279</v>
      </c>
      <c r="C286">
        <v>24</v>
      </c>
      <c r="E286" s="12"/>
      <c r="F286" s="11">
        <f>RITable[[#This Row],[Price (1y)]]/RITable[[#This Row],[Ratio]]</f>
        <v>0</v>
      </c>
      <c r="H286" s="12"/>
      <c r="I286" s="10">
        <f>RITable[[#This Row],[Price (3y)]]/RITable[[#This Row],[Ratio]] / 3</f>
        <v>0</v>
      </c>
    </row>
    <row r="287" spans="1:9" x14ac:dyDescent="0.3">
      <c r="A287" t="s">
        <v>273</v>
      </c>
      <c r="B287" t="s">
        <v>280</v>
      </c>
      <c r="C287">
        <v>32</v>
      </c>
      <c r="E287" s="12"/>
      <c r="F287" s="11">
        <f>RITable[[#This Row],[Price (1y)]]/RITable[[#This Row],[Ratio]]</f>
        <v>0</v>
      </c>
      <c r="H287" s="12"/>
      <c r="I287" s="10">
        <f>RITable[[#This Row],[Price (3y)]]/RITable[[#This Row],[Ratio]] / 3</f>
        <v>0</v>
      </c>
    </row>
    <row r="288" spans="1:9" x14ac:dyDescent="0.3">
      <c r="A288" t="s">
        <v>273</v>
      </c>
      <c r="B288" t="s">
        <v>281</v>
      </c>
      <c r="C288">
        <v>48</v>
      </c>
      <c r="E288" s="12"/>
      <c r="F288" s="11">
        <f>RITable[[#This Row],[Price (1y)]]/RITable[[#This Row],[Ratio]]</f>
        <v>0</v>
      </c>
      <c r="H288" s="12"/>
      <c r="I288" s="10">
        <f>RITable[[#This Row],[Price (3y)]]/RITable[[#This Row],[Ratio]] / 3</f>
        <v>0</v>
      </c>
    </row>
    <row r="289" spans="1:9" x14ac:dyDescent="0.3">
      <c r="A289" t="s">
        <v>1040</v>
      </c>
      <c r="B289" t="s">
        <v>1041</v>
      </c>
      <c r="C289">
        <v>1</v>
      </c>
      <c r="E289" s="12"/>
      <c r="F289" s="11">
        <f>RITable[[#This Row],[Price (1y)]]/RITable[[#This Row],[Ratio]]</f>
        <v>0</v>
      </c>
      <c r="H289" s="12"/>
      <c r="I289" s="10">
        <f>RITable[[#This Row],[Price (3y)]]/RITable[[#This Row],[Ratio]] / 3</f>
        <v>0</v>
      </c>
    </row>
    <row r="290" spans="1:9" x14ac:dyDescent="0.3">
      <c r="A290" t="s">
        <v>1040</v>
      </c>
      <c r="B290" t="s">
        <v>1042</v>
      </c>
      <c r="C290">
        <v>2</v>
      </c>
      <c r="E290" s="12"/>
      <c r="F290" s="11">
        <f>RITable[[#This Row],[Price (1y)]]/RITable[[#This Row],[Ratio]]</f>
        <v>0</v>
      </c>
      <c r="H290" s="12"/>
      <c r="I290" s="10">
        <f>RITable[[#This Row],[Price (3y)]]/RITable[[#This Row],[Ratio]] / 3</f>
        <v>0</v>
      </c>
    </row>
    <row r="291" spans="1:9" x14ac:dyDescent="0.3">
      <c r="A291" t="s">
        <v>1040</v>
      </c>
      <c r="B291" t="s">
        <v>1043</v>
      </c>
      <c r="C291">
        <v>4</v>
      </c>
      <c r="E291" s="12"/>
      <c r="F291" s="11">
        <f>RITable[[#This Row],[Price (1y)]]/RITable[[#This Row],[Ratio]]</f>
        <v>0</v>
      </c>
      <c r="H291" s="12"/>
      <c r="I291" s="10">
        <f>RITable[[#This Row],[Price (3y)]]/RITable[[#This Row],[Ratio]] / 3</f>
        <v>0</v>
      </c>
    </row>
    <row r="292" spans="1:9" x14ac:dyDescent="0.3">
      <c r="A292" t="s">
        <v>1040</v>
      </c>
      <c r="B292" t="s">
        <v>1044</v>
      </c>
      <c r="C292">
        <v>8</v>
      </c>
      <c r="E292" s="12"/>
      <c r="F292" s="11">
        <f>RITable[[#This Row],[Price (1y)]]/RITable[[#This Row],[Ratio]]</f>
        <v>0</v>
      </c>
      <c r="H292" s="12"/>
      <c r="I292" s="10">
        <f>RITable[[#This Row],[Price (3y)]]/RITable[[#This Row],[Ratio]] / 3</f>
        <v>0</v>
      </c>
    </row>
    <row r="293" spans="1:9" x14ac:dyDescent="0.3">
      <c r="A293" t="s">
        <v>1040</v>
      </c>
      <c r="B293" t="s">
        <v>1045</v>
      </c>
      <c r="C293">
        <v>16</v>
      </c>
      <c r="E293" s="12"/>
      <c r="F293" s="11">
        <f>RITable[[#This Row],[Price (1y)]]/RITable[[#This Row],[Ratio]]</f>
        <v>0</v>
      </c>
      <c r="H293" s="12"/>
      <c r="I293" s="10">
        <f>RITable[[#This Row],[Price (3y)]]/RITable[[#This Row],[Ratio]] / 3</f>
        <v>0</v>
      </c>
    </row>
    <row r="294" spans="1:9" x14ac:dyDescent="0.3">
      <c r="A294" t="s">
        <v>1040</v>
      </c>
      <c r="B294" t="s">
        <v>1046</v>
      </c>
      <c r="C294">
        <v>24</v>
      </c>
      <c r="E294" s="12"/>
      <c r="F294" s="11">
        <f>RITable[[#This Row],[Price (1y)]]/RITable[[#This Row],[Ratio]]</f>
        <v>0</v>
      </c>
      <c r="H294" s="12"/>
      <c r="I294" s="10">
        <f>RITable[[#This Row],[Price (3y)]]/RITable[[#This Row],[Ratio]] / 3</f>
        <v>0</v>
      </c>
    </row>
    <row r="295" spans="1:9" x14ac:dyDescent="0.3">
      <c r="A295" t="s">
        <v>1040</v>
      </c>
      <c r="B295" t="s">
        <v>1047</v>
      </c>
      <c r="C295">
        <v>32</v>
      </c>
      <c r="E295" s="12"/>
      <c r="F295" s="11">
        <f>RITable[[#This Row],[Price (1y)]]/RITable[[#This Row],[Ratio]]</f>
        <v>0</v>
      </c>
      <c r="H295" s="12"/>
      <c r="I295" s="10">
        <f>RITable[[#This Row],[Price (3y)]]/RITable[[#This Row],[Ratio]] / 3</f>
        <v>0</v>
      </c>
    </row>
    <row r="296" spans="1:9" x14ac:dyDescent="0.3">
      <c r="A296" t="s">
        <v>1040</v>
      </c>
      <c r="B296" t="s">
        <v>1048</v>
      </c>
      <c r="C296">
        <v>48</v>
      </c>
      <c r="E296" s="12"/>
      <c r="F296" s="11">
        <f>RITable[[#This Row],[Price (1y)]]/RITable[[#This Row],[Ratio]]</f>
        <v>0</v>
      </c>
      <c r="H296" s="12"/>
      <c r="I296" s="10">
        <f>RITable[[#This Row],[Price (3y)]]/RITable[[#This Row],[Ratio]] / 3</f>
        <v>0</v>
      </c>
    </row>
    <row r="297" spans="1:9" x14ac:dyDescent="0.3">
      <c r="A297" t="s">
        <v>1049</v>
      </c>
      <c r="B297" t="s">
        <v>1050</v>
      </c>
      <c r="C297">
        <v>1</v>
      </c>
      <c r="E297" s="12"/>
      <c r="F297" s="11">
        <f>RITable[[#This Row],[Price (1y)]]/RITable[[#This Row],[Ratio]]</f>
        <v>0</v>
      </c>
      <c r="H297" s="12"/>
      <c r="I297" s="10">
        <f>RITable[[#This Row],[Price (3y)]]/RITable[[#This Row],[Ratio]] / 3</f>
        <v>0</v>
      </c>
    </row>
    <row r="298" spans="1:9" x14ac:dyDescent="0.3">
      <c r="A298" t="s">
        <v>1049</v>
      </c>
      <c r="B298" t="s">
        <v>1051</v>
      </c>
      <c r="C298">
        <v>2</v>
      </c>
      <c r="E298" s="12"/>
      <c r="F298" s="11">
        <f>RITable[[#This Row],[Price (1y)]]/RITable[[#This Row],[Ratio]]</f>
        <v>0</v>
      </c>
      <c r="H298" s="12"/>
      <c r="I298" s="10">
        <f>RITable[[#This Row],[Price (3y)]]/RITable[[#This Row],[Ratio]] / 3</f>
        <v>0</v>
      </c>
    </row>
    <row r="299" spans="1:9" x14ac:dyDescent="0.3">
      <c r="A299" t="s">
        <v>1049</v>
      </c>
      <c r="B299" t="s">
        <v>1052</v>
      </c>
      <c r="C299">
        <v>4</v>
      </c>
      <c r="E299" s="12"/>
      <c r="F299" s="11">
        <f>RITable[[#This Row],[Price (1y)]]/RITable[[#This Row],[Ratio]]</f>
        <v>0</v>
      </c>
      <c r="H299" s="12"/>
      <c r="I299" s="10">
        <f>RITable[[#This Row],[Price (3y)]]/RITable[[#This Row],[Ratio]] / 3</f>
        <v>0</v>
      </c>
    </row>
    <row r="300" spans="1:9" x14ac:dyDescent="0.3">
      <c r="A300" t="s">
        <v>1049</v>
      </c>
      <c r="B300" t="s">
        <v>1053</v>
      </c>
      <c r="C300">
        <v>8</v>
      </c>
      <c r="E300" s="12"/>
      <c r="F300" s="11">
        <f>RITable[[#This Row],[Price (1y)]]/RITable[[#This Row],[Ratio]]</f>
        <v>0</v>
      </c>
      <c r="H300" s="12"/>
      <c r="I300" s="10">
        <f>RITable[[#This Row],[Price (3y)]]/RITable[[#This Row],[Ratio]] / 3</f>
        <v>0</v>
      </c>
    </row>
    <row r="301" spans="1:9" x14ac:dyDescent="0.3">
      <c r="A301" t="s">
        <v>1049</v>
      </c>
      <c r="B301" t="s">
        <v>1054</v>
      </c>
      <c r="C301">
        <v>16</v>
      </c>
      <c r="E301" s="12"/>
      <c r="F301" s="11">
        <f>RITable[[#This Row],[Price (1y)]]/RITable[[#This Row],[Ratio]]</f>
        <v>0</v>
      </c>
      <c r="H301" s="12"/>
      <c r="I301" s="10">
        <f>RITable[[#This Row],[Price (3y)]]/RITable[[#This Row],[Ratio]] / 3</f>
        <v>0</v>
      </c>
    </row>
    <row r="302" spans="1:9" x14ac:dyDescent="0.3">
      <c r="A302" t="s">
        <v>1049</v>
      </c>
      <c r="B302" t="s">
        <v>1055</v>
      </c>
      <c r="C302">
        <v>24</v>
      </c>
      <c r="E302" s="12"/>
      <c r="F302" s="11">
        <f>RITable[[#This Row],[Price (1y)]]/RITable[[#This Row],[Ratio]]</f>
        <v>0</v>
      </c>
      <c r="H302" s="12"/>
      <c r="I302" s="10">
        <f>RITable[[#This Row],[Price (3y)]]/RITable[[#This Row],[Ratio]] / 3</f>
        <v>0</v>
      </c>
    </row>
    <row r="303" spans="1:9" x14ac:dyDescent="0.3">
      <c r="A303" t="s">
        <v>1049</v>
      </c>
      <c r="B303" t="s">
        <v>1056</v>
      </c>
      <c r="C303">
        <v>32</v>
      </c>
      <c r="E303" s="12"/>
      <c r="F303" s="11">
        <f>RITable[[#This Row],[Price (1y)]]/RITable[[#This Row],[Ratio]]</f>
        <v>0</v>
      </c>
      <c r="H303" s="12"/>
      <c r="I303" s="10">
        <f>RITable[[#This Row],[Price (3y)]]/RITable[[#This Row],[Ratio]] / 3</f>
        <v>0</v>
      </c>
    </row>
    <row r="304" spans="1:9" x14ac:dyDescent="0.3">
      <c r="A304" t="s">
        <v>1049</v>
      </c>
      <c r="B304" t="s">
        <v>1057</v>
      </c>
      <c r="C304">
        <v>48</v>
      </c>
      <c r="E304" s="12"/>
      <c r="F304" s="11">
        <f>RITable[[#This Row],[Price (1y)]]/RITable[[#This Row],[Ratio]]</f>
        <v>0</v>
      </c>
      <c r="H304" s="12"/>
      <c r="I304" s="10">
        <f>RITable[[#This Row],[Price (3y)]]/RITable[[#This Row],[Ratio]] / 3</f>
        <v>0</v>
      </c>
    </row>
    <row r="305" spans="1:9" x14ac:dyDescent="0.3">
      <c r="A305" t="s">
        <v>1058</v>
      </c>
      <c r="B305" t="s">
        <v>1059</v>
      </c>
      <c r="C305">
        <v>1</v>
      </c>
      <c r="E305" s="12"/>
      <c r="F305" s="11">
        <f>RITable[[#This Row],[Price (1y)]]/RITable[[#This Row],[Ratio]]</f>
        <v>0</v>
      </c>
      <c r="H305" s="12"/>
      <c r="I305" s="10">
        <f>RITable[[#This Row],[Price (3y)]]/RITable[[#This Row],[Ratio]] / 3</f>
        <v>0</v>
      </c>
    </row>
    <row r="306" spans="1:9" x14ac:dyDescent="0.3">
      <c r="A306" t="s">
        <v>1058</v>
      </c>
      <c r="B306" t="s">
        <v>1060</v>
      </c>
      <c r="C306">
        <v>2</v>
      </c>
      <c r="E306" s="12"/>
      <c r="F306" s="11">
        <f>RITable[[#This Row],[Price (1y)]]/RITable[[#This Row],[Ratio]]</f>
        <v>0</v>
      </c>
      <c r="H306" s="12"/>
      <c r="I306" s="10">
        <f>RITable[[#This Row],[Price (3y)]]/RITable[[#This Row],[Ratio]] / 3</f>
        <v>0</v>
      </c>
    </row>
    <row r="307" spans="1:9" x14ac:dyDescent="0.3">
      <c r="A307" t="s">
        <v>1058</v>
      </c>
      <c r="B307" t="s">
        <v>1061</v>
      </c>
      <c r="C307">
        <v>4</v>
      </c>
      <c r="E307" s="12"/>
      <c r="F307" s="11">
        <f>RITable[[#This Row],[Price (1y)]]/RITable[[#This Row],[Ratio]]</f>
        <v>0</v>
      </c>
      <c r="H307" s="12"/>
      <c r="I307" s="10">
        <f>RITable[[#This Row],[Price (3y)]]/RITable[[#This Row],[Ratio]] / 3</f>
        <v>0</v>
      </c>
    </row>
    <row r="308" spans="1:9" x14ac:dyDescent="0.3">
      <c r="A308" t="s">
        <v>1058</v>
      </c>
      <c r="B308" t="s">
        <v>1062</v>
      </c>
      <c r="C308">
        <v>8</v>
      </c>
      <c r="E308" s="12"/>
      <c r="F308" s="11">
        <f>RITable[[#This Row],[Price (1y)]]/RITable[[#This Row],[Ratio]]</f>
        <v>0</v>
      </c>
      <c r="H308" s="12"/>
      <c r="I308" s="10">
        <f>RITable[[#This Row],[Price (3y)]]/RITable[[#This Row],[Ratio]] / 3</f>
        <v>0</v>
      </c>
    </row>
    <row r="309" spans="1:9" x14ac:dyDescent="0.3">
      <c r="A309" t="s">
        <v>1058</v>
      </c>
      <c r="B309" t="s">
        <v>1063</v>
      </c>
      <c r="C309">
        <v>16</v>
      </c>
      <c r="E309" s="12"/>
      <c r="F309" s="11">
        <f>RITable[[#This Row],[Price (1y)]]/RITable[[#This Row],[Ratio]]</f>
        <v>0</v>
      </c>
      <c r="H309" s="12"/>
      <c r="I309" s="10">
        <f>RITable[[#This Row],[Price (3y)]]/RITable[[#This Row],[Ratio]] / 3</f>
        <v>0</v>
      </c>
    </row>
    <row r="310" spans="1:9" x14ac:dyDescent="0.3">
      <c r="A310" t="s">
        <v>1058</v>
      </c>
      <c r="B310" t="s">
        <v>1064</v>
      </c>
      <c r="C310">
        <v>24</v>
      </c>
      <c r="E310" s="12"/>
      <c r="F310" s="11">
        <f>RITable[[#This Row],[Price (1y)]]/RITable[[#This Row],[Ratio]]</f>
        <v>0</v>
      </c>
      <c r="H310" s="12"/>
      <c r="I310" s="10">
        <f>RITable[[#This Row],[Price (3y)]]/RITable[[#This Row],[Ratio]] / 3</f>
        <v>0</v>
      </c>
    </row>
    <row r="311" spans="1:9" x14ac:dyDescent="0.3">
      <c r="A311" t="s">
        <v>1058</v>
      </c>
      <c r="B311" t="s">
        <v>1065</v>
      </c>
      <c r="C311">
        <v>32</v>
      </c>
      <c r="E311" s="12"/>
      <c r="F311" s="11">
        <f>RITable[[#This Row],[Price (1y)]]/RITable[[#This Row],[Ratio]]</f>
        <v>0</v>
      </c>
      <c r="H311" s="12"/>
      <c r="I311" s="10">
        <f>RITable[[#This Row],[Price (3y)]]/RITable[[#This Row],[Ratio]] / 3</f>
        <v>0</v>
      </c>
    </row>
    <row r="312" spans="1:9" x14ac:dyDescent="0.3">
      <c r="A312" t="s">
        <v>1066</v>
      </c>
      <c r="B312" t="s">
        <v>1067</v>
      </c>
      <c r="C312">
        <v>1</v>
      </c>
      <c r="E312" s="12"/>
      <c r="F312" s="11">
        <f>RITable[[#This Row],[Price (1y)]]/RITable[[#This Row],[Ratio]]</f>
        <v>0</v>
      </c>
      <c r="H312" s="12"/>
      <c r="I312" s="10">
        <f>RITable[[#This Row],[Price (3y)]]/RITable[[#This Row],[Ratio]] / 3</f>
        <v>0</v>
      </c>
    </row>
    <row r="313" spans="1:9" x14ac:dyDescent="0.3">
      <c r="A313" t="s">
        <v>1066</v>
      </c>
      <c r="B313" t="s">
        <v>1068</v>
      </c>
      <c r="C313">
        <v>2</v>
      </c>
      <c r="E313" s="12"/>
      <c r="F313" s="11">
        <f>RITable[[#This Row],[Price (1y)]]/RITable[[#This Row],[Ratio]]</f>
        <v>0</v>
      </c>
      <c r="H313" s="12"/>
      <c r="I313" s="10">
        <f>RITable[[#This Row],[Price (3y)]]/RITable[[#This Row],[Ratio]] / 3</f>
        <v>0</v>
      </c>
    </row>
    <row r="314" spans="1:9" x14ac:dyDescent="0.3">
      <c r="A314" t="s">
        <v>1066</v>
      </c>
      <c r="B314" t="s">
        <v>1069</v>
      </c>
      <c r="C314">
        <v>4</v>
      </c>
      <c r="E314" s="12"/>
      <c r="F314" s="11">
        <f>RITable[[#This Row],[Price (1y)]]/RITable[[#This Row],[Ratio]]</f>
        <v>0</v>
      </c>
      <c r="H314" s="12"/>
      <c r="I314" s="10">
        <f>RITable[[#This Row],[Price (3y)]]/RITable[[#This Row],[Ratio]] / 3</f>
        <v>0</v>
      </c>
    </row>
    <row r="315" spans="1:9" x14ac:dyDescent="0.3">
      <c r="A315" t="s">
        <v>1066</v>
      </c>
      <c r="B315" t="s">
        <v>1070</v>
      </c>
      <c r="C315">
        <v>8</v>
      </c>
      <c r="E315" s="12"/>
      <c r="F315" s="11">
        <f>RITable[[#This Row],[Price (1y)]]/RITable[[#This Row],[Ratio]]</f>
        <v>0</v>
      </c>
      <c r="H315" s="12"/>
      <c r="I315" s="10">
        <f>RITable[[#This Row],[Price (3y)]]/RITable[[#This Row],[Ratio]] / 3</f>
        <v>0</v>
      </c>
    </row>
    <row r="316" spans="1:9" x14ac:dyDescent="0.3">
      <c r="A316" t="s">
        <v>1066</v>
      </c>
      <c r="B316" t="s">
        <v>1071</v>
      </c>
      <c r="C316">
        <v>16</v>
      </c>
      <c r="E316" s="12"/>
      <c r="F316" s="11">
        <f>RITable[[#This Row],[Price (1y)]]/RITable[[#This Row],[Ratio]]</f>
        <v>0</v>
      </c>
      <c r="H316" s="12"/>
      <c r="I316" s="10">
        <f>RITable[[#This Row],[Price (3y)]]/RITable[[#This Row],[Ratio]] / 3</f>
        <v>0</v>
      </c>
    </row>
    <row r="317" spans="1:9" x14ac:dyDescent="0.3">
      <c r="A317" t="s">
        <v>1066</v>
      </c>
      <c r="B317" t="s">
        <v>1072</v>
      </c>
      <c r="C317">
        <v>24</v>
      </c>
      <c r="E317" s="12"/>
      <c r="F317" s="11">
        <f>RITable[[#This Row],[Price (1y)]]/RITable[[#This Row],[Ratio]]</f>
        <v>0</v>
      </c>
      <c r="H317" s="12"/>
      <c r="I317" s="10">
        <f>RITable[[#This Row],[Price (3y)]]/RITable[[#This Row],[Ratio]] / 3</f>
        <v>0</v>
      </c>
    </row>
    <row r="318" spans="1:9" x14ac:dyDescent="0.3">
      <c r="A318" t="s">
        <v>1066</v>
      </c>
      <c r="B318" t="s">
        <v>1073</v>
      </c>
      <c r="C318">
        <v>32</v>
      </c>
      <c r="E318" s="12"/>
      <c r="F318" s="11">
        <f>RITable[[#This Row],[Price (1y)]]/RITable[[#This Row],[Ratio]]</f>
        <v>0</v>
      </c>
      <c r="H318" s="12"/>
      <c r="I318" s="10">
        <f>RITable[[#This Row],[Price (3y)]]/RITable[[#This Row],[Ratio]] / 3</f>
        <v>0</v>
      </c>
    </row>
    <row r="319" spans="1:9" x14ac:dyDescent="0.3">
      <c r="A319" t="s">
        <v>1074</v>
      </c>
      <c r="B319" t="s">
        <v>1075</v>
      </c>
      <c r="C319">
        <v>1</v>
      </c>
      <c r="E319" s="12"/>
      <c r="F319" s="11">
        <f>RITable[[#This Row],[Price (1y)]]/RITable[[#This Row],[Ratio]]</f>
        <v>0</v>
      </c>
      <c r="H319" s="12"/>
      <c r="I319" s="10">
        <f>RITable[[#This Row],[Price (3y)]]/RITable[[#This Row],[Ratio]] / 3</f>
        <v>0</v>
      </c>
    </row>
    <row r="320" spans="1:9" x14ac:dyDescent="0.3">
      <c r="A320" t="s">
        <v>1074</v>
      </c>
      <c r="B320" t="s">
        <v>1076</v>
      </c>
      <c r="C320">
        <v>2</v>
      </c>
      <c r="E320" s="12"/>
      <c r="F320" s="11">
        <f>RITable[[#This Row],[Price (1y)]]/RITable[[#This Row],[Ratio]]</f>
        <v>0</v>
      </c>
      <c r="H320" s="12"/>
      <c r="I320" s="10">
        <f>RITable[[#This Row],[Price (3y)]]/RITable[[#This Row],[Ratio]] / 3</f>
        <v>0</v>
      </c>
    </row>
    <row r="321" spans="1:9" x14ac:dyDescent="0.3">
      <c r="A321" t="s">
        <v>1074</v>
      </c>
      <c r="B321" t="s">
        <v>1077</v>
      </c>
      <c r="C321">
        <v>4</v>
      </c>
      <c r="E321" s="12"/>
      <c r="F321" s="11">
        <f>RITable[[#This Row],[Price (1y)]]/RITable[[#This Row],[Ratio]]</f>
        <v>0</v>
      </c>
      <c r="H321" s="12"/>
      <c r="I321" s="10">
        <f>RITable[[#This Row],[Price (3y)]]/RITable[[#This Row],[Ratio]] / 3</f>
        <v>0</v>
      </c>
    </row>
    <row r="322" spans="1:9" x14ac:dyDescent="0.3">
      <c r="A322" t="s">
        <v>1074</v>
      </c>
      <c r="B322" t="s">
        <v>1078</v>
      </c>
      <c r="C322">
        <v>8</v>
      </c>
      <c r="E322" s="12"/>
      <c r="F322" s="11">
        <f>RITable[[#This Row],[Price (1y)]]/RITable[[#This Row],[Ratio]]</f>
        <v>0</v>
      </c>
      <c r="H322" s="12"/>
      <c r="I322" s="10">
        <f>RITable[[#This Row],[Price (3y)]]/RITable[[#This Row],[Ratio]] / 3</f>
        <v>0</v>
      </c>
    </row>
    <row r="323" spans="1:9" x14ac:dyDescent="0.3">
      <c r="A323" t="s">
        <v>1074</v>
      </c>
      <c r="B323" t="s">
        <v>1079</v>
      </c>
      <c r="C323">
        <v>16</v>
      </c>
      <c r="E323" s="12"/>
      <c r="F323" s="11">
        <f>RITable[[#This Row],[Price (1y)]]/RITable[[#This Row],[Ratio]]</f>
        <v>0</v>
      </c>
      <c r="H323" s="12"/>
      <c r="I323" s="10">
        <f>RITable[[#This Row],[Price (3y)]]/RITable[[#This Row],[Ratio]] / 3</f>
        <v>0</v>
      </c>
    </row>
    <row r="324" spans="1:9" x14ac:dyDescent="0.3">
      <c r="A324" t="s">
        <v>1074</v>
      </c>
      <c r="B324" t="s">
        <v>1080</v>
      </c>
      <c r="C324">
        <v>24</v>
      </c>
      <c r="E324" s="12"/>
      <c r="F324" s="11">
        <f>RITable[[#This Row],[Price (1y)]]/RITable[[#This Row],[Ratio]]</f>
        <v>0</v>
      </c>
      <c r="H324" s="12"/>
      <c r="I324" s="10">
        <f>RITable[[#This Row],[Price (3y)]]/RITable[[#This Row],[Ratio]] / 3</f>
        <v>0</v>
      </c>
    </row>
    <row r="325" spans="1:9" x14ac:dyDescent="0.3">
      <c r="A325" t="s">
        <v>1074</v>
      </c>
      <c r="B325" t="s">
        <v>1081</v>
      </c>
      <c r="C325">
        <v>32</v>
      </c>
      <c r="E325" s="12"/>
      <c r="F325" s="11">
        <f>RITable[[#This Row],[Price (1y)]]/RITable[[#This Row],[Ratio]]</f>
        <v>0</v>
      </c>
      <c r="H325" s="12"/>
      <c r="I325" s="10">
        <f>RITable[[#This Row],[Price (3y)]]/RITable[[#This Row],[Ratio]] / 3</f>
        <v>0</v>
      </c>
    </row>
    <row r="326" spans="1:9" x14ac:dyDescent="0.3">
      <c r="A326" t="s">
        <v>1082</v>
      </c>
      <c r="B326" t="s">
        <v>1083</v>
      </c>
      <c r="C326">
        <v>1</v>
      </c>
      <c r="E326" s="12"/>
      <c r="F326" s="11">
        <f>RITable[[#This Row],[Price (1y)]]/RITable[[#This Row],[Ratio]]</f>
        <v>0</v>
      </c>
      <c r="H326" s="12"/>
      <c r="I326" s="10">
        <f>RITable[[#This Row],[Price (3y)]]/RITable[[#This Row],[Ratio]] / 3</f>
        <v>0</v>
      </c>
    </row>
    <row r="327" spans="1:9" x14ac:dyDescent="0.3">
      <c r="A327" t="s">
        <v>1082</v>
      </c>
      <c r="B327" t="s">
        <v>1084</v>
      </c>
      <c r="C327">
        <v>2</v>
      </c>
      <c r="E327" s="12"/>
      <c r="F327" s="11">
        <f>RITable[[#This Row],[Price (1y)]]/RITable[[#This Row],[Ratio]]</f>
        <v>0</v>
      </c>
      <c r="H327" s="12"/>
      <c r="I327" s="10">
        <f>RITable[[#This Row],[Price (3y)]]/RITable[[#This Row],[Ratio]] / 3</f>
        <v>0</v>
      </c>
    </row>
    <row r="328" spans="1:9" x14ac:dyDescent="0.3">
      <c r="A328" t="s">
        <v>1082</v>
      </c>
      <c r="B328" t="s">
        <v>1085</v>
      </c>
      <c r="C328">
        <v>4</v>
      </c>
      <c r="E328" s="12"/>
      <c r="F328" s="11">
        <f>RITable[[#This Row],[Price (1y)]]/RITable[[#This Row],[Ratio]]</f>
        <v>0</v>
      </c>
      <c r="H328" s="12"/>
      <c r="I328" s="10">
        <f>RITable[[#This Row],[Price (3y)]]/RITable[[#This Row],[Ratio]] / 3</f>
        <v>0</v>
      </c>
    </row>
    <row r="329" spans="1:9" x14ac:dyDescent="0.3">
      <c r="A329" t="s">
        <v>1082</v>
      </c>
      <c r="B329" t="s">
        <v>1086</v>
      </c>
      <c r="C329">
        <v>8</v>
      </c>
      <c r="E329" s="12"/>
      <c r="F329" s="11">
        <f>RITable[[#This Row],[Price (1y)]]/RITable[[#This Row],[Ratio]]</f>
        <v>0</v>
      </c>
      <c r="H329" s="12"/>
      <c r="I329" s="10">
        <f>RITable[[#This Row],[Price (3y)]]/RITable[[#This Row],[Ratio]] / 3</f>
        <v>0</v>
      </c>
    </row>
    <row r="330" spans="1:9" x14ac:dyDescent="0.3">
      <c r="A330" t="s">
        <v>1082</v>
      </c>
      <c r="B330" t="s">
        <v>1087</v>
      </c>
      <c r="C330">
        <v>16</v>
      </c>
      <c r="E330" s="12"/>
      <c r="F330" s="11">
        <f>RITable[[#This Row],[Price (1y)]]/RITable[[#This Row],[Ratio]]</f>
        <v>0</v>
      </c>
      <c r="H330" s="12"/>
      <c r="I330" s="10">
        <f>RITable[[#This Row],[Price (3y)]]/RITable[[#This Row],[Ratio]] / 3</f>
        <v>0</v>
      </c>
    </row>
    <row r="331" spans="1:9" x14ac:dyDescent="0.3">
      <c r="A331" t="s">
        <v>1082</v>
      </c>
      <c r="B331" t="s">
        <v>1088</v>
      </c>
      <c r="C331">
        <v>24</v>
      </c>
      <c r="E331" s="12"/>
      <c r="F331" s="11">
        <f>RITable[[#This Row],[Price (1y)]]/RITable[[#This Row],[Ratio]]</f>
        <v>0</v>
      </c>
      <c r="H331" s="12"/>
      <c r="I331" s="10">
        <f>RITable[[#This Row],[Price (3y)]]/RITable[[#This Row],[Ratio]] / 3</f>
        <v>0</v>
      </c>
    </row>
    <row r="332" spans="1:9" x14ac:dyDescent="0.3">
      <c r="A332" t="s">
        <v>1082</v>
      </c>
      <c r="B332" t="s">
        <v>1089</v>
      </c>
      <c r="C332">
        <v>32</v>
      </c>
      <c r="E332" s="12"/>
      <c r="F332" s="11">
        <f>RITable[[#This Row],[Price (1y)]]/RITable[[#This Row],[Ratio]]</f>
        <v>0</v>
      </c>
      <c r="H332" s="12"/>
      <c r="I332" s="10">
        <f>RITable[[#This Row],[Price (3y)]]/RITable[[#This Row],[Ratio]] / 3</f>
        <v>0</v>
      </c>
    </row>
    <row r="333" spans="1:9" x14ac:dyDescent="0.3">
      <c r="A333" t="s">
        <v>282</v>
      </c>
      <c r="B333" t="s">
        <v>283</v>
      </c>
      <c r="C333">
        <v>1</v>
      </c>
      <c r="E333" s="12"/>
      <c r="F333" s="11">
        <f>RITable[[#This Row],[Price (1y)]]/RITable[[#This Row],[Ratio]]</f>
        <v>0</v>
      </c>
      <c r="H333" s="12"/>
      <c r="I333" s="10">
        <f>RITable[[#This Row],[Price (3y)]]/RITable[[#This Row],[Ratio]] / 3</f>
        <v>0</v>
      </c>
    </row>
    <row r="334" spans="1:9" x14ac:dyDescent="0.3">
      <c r="A334" t="s">
        <v>282</v>
      </c>
      <c r="B334" t="s">
        <v>284</v>
      </c>
      <c r="C334">
        <v>2</v>
      </c>
      <c r="E334" s="12"/>
      <c r="F334" s="11">
        <f>RITable[[#This Row],[Price (1y)]]/RITable[[#This Row],[Ratio]]</f>
        <v>0</v>
      </c>
      <c r="H334" s="12"/>
      <c r="I334" s="10">
        <f>RITable[[#This Row],[Price (3y)]]/RITable[[#This Row],[Ratio]] / 3</f>
        <v>0</v>
      </c>
    </row>
    <row r="335" spans="1:9" x14ac:dyDescent="0.3">
      <c r="A335" t="s">
        <v>282</v>
      </c>
      <c r="B335" t="s">
        <v>285</v>
      </c>
      <c r="C335">
        <v>4</v>
      </c>
      <c r="E335" s="12"/>
      <c r="F335" s="11">
        <f>RITable[[#This Row],[Price (1y)]]/RITable[[#This Row],[Ratio]]</f>
        <v>0</v>
      </c>
      <c r="H335" s="12"/>
      <c r="I335" s="10">
        <f>RITable[[#This Row],[Price (3y)]]/RITable[[#This Row],[Ratio]] / 3</f>
        <v>0</v>
      </c>
    </row>
    <row r="336" spans="1:9" x14ac:dyDescent="0.3">
      <c r="A336" t="s">
        <v>282</v>
      </c>
      <c r="B336" t="s">
        <v>286</v>
      </c>
      <c r="C336">
        <v>8</v>
      </c>
      <c r="E336" s="12"/>
      <c r="F336" s="11">
        <f>RITable[[#This Row],[Price (1y)]]/RITable[[#This Row],[Ratio]]</f>
        <v>0</v>
      </c>
      <c r="H336" s="12"/>
      <c r="I336" s="10">
        <f>RITable[[#This Row],[Price (3y)]]/RITable[[#This Row],[Ratio]] / 3</f>
        <v>0</v>
      </c>
    </row>
    <row r="337" spans="1:9" x14ac:dyDescent="0.3">
      <c r="A337" t="s">
        <v>282</v>
      </c>
      <c r="B337" t="s">
        <v>287</v>
      </c>
      <c r="C337">
        <v>16</v>
      </c>
      <c r="E337" s="12"/>
      <c r="F337" s="11">
        <f>RITable[[#This Row],[Price (1y)]]/RITable[[#This Row],[Ratio]]</f>
        <v>0</v>
      </c>
      <c r="H337" s="12"/>
      <c r="I337" s="10">
        <f>RITable[[#This Row],[Price (3y)]]/RITable[[#This Row],[Ratio]] / 3</f>
        <v>0</v>
      </c>
    </row>
    <row r="338" spans="1:9" x14ac:dyDescent="0.3">
      <c r="A338" t="s">
        <v>282</v>
      </c>
      <c r="B338" t="s">
        <v>288</v>
      </c>
      <c r="C338">
        <v>24</v>
      </c>
      <c r="E338" s="12"/>
      <c r="F338" s="11">
        <f>RITable[[#This Row],[Price (1y)]]/RITable[[#This Row],[Ratio]]</f>
        <v>0</v>
      </c>
      <c r="H338" s="12"/>
      <c r="I338" s="10">
        <f>RITable[[#This Row],[Price (3y)]]/RITable[[#This Row],[Ratio]] / 3</f>
        <v>0</v>
      </c>
    </row>
    <row r="339" spans="1:9" x14ac:dyDescent="0.3">
      <c r="A339" t="s">
        <v>282</v>
      </c>
      <c r="B339" t="s">
        <v>289</v>
      </c>
      <c r="C339">
        <v>32</v>
      </c>
      <c r="E339" s="12"/>
      <c r="F339" s="11">
        <f>RITable[[#This Row],[Price (1y)]]/RITable[[#This Row],[Ratio]]</f>
        <v>0</v>
      </c>
      <c r="H339" s="12"/>
      <c r="I339" s="10">
        <f>RITable[[#This Row],[Price (3y)]]/RITable[[#This Row],[Ratio]] / 3</f>
        <v>0</v>
      </c>
    </row>
    <row r="340" spans="1:9" x14ac:dyDescent="0.3">
      <c r="A340" t="s">
        <v>290</v>
      </c>
      <c r="B340" t="s">
        <v>291</v>
      </c>
      <c r="C340">
        <v>1</v>
      </c>
      <c r="E340" s="12"/>
      <c r="F340" s="11">
        <f>RITable[[#This Row],[Price (1y)]]/RITable[[#This Row],[Ratio]]</f>
        <v>0</v>
      </c>
      <c r="H340" s="12"/>
      <c r="I340" s="10">
        <f>RITable[[#This Row],[Price (3y)]]/RITable[[#This Row],[Ratio]] / 3</f>
        <v>0</v>
      </c>
    </row>
    <row r="341" spans="1:9" x14ac:dyDescent="0.3">
      <c r="A341" t="s">
        <v>290</v>
      </c>
      <c r="B341" t="s">
        <v>292</v>
      </c>
      <c r="C341">
        <v>2</v>
      </c>
      <c r="E341" s="12"/>
      <c r="F341" s="11">
        <f>RITable[[#This Row],[Price (1y)]]/RITable[[#This Row],[Ratio]]</f>
        <v>0</v>
      </c>
      <c r="H341" s="12"/>
      <c r="I341" s="10">
        <f>RITable[[#This Row],[Price (3y)]]/RITable[[#This Row],[Ratio]] / 3</f>
        <v>0</v>
      </c>
    </row>
    <row r="342" spans="1:9" x14ac:dyDescent="0.3">
      <c r="A342" t="s">
        <v>290</v>
      </c>
      <c r="B342" t="s">
        <v>293</v>
      </c>
      <c r="C342">
        <v>4</v>
      </c>
      <c r="E342" s="12"/>
      <c r="F342" s="11">
        <f>RITable[[#This Row],[Price (1y)]]/RITable[[#This Row],[Ratio]]</f>
        <v>0</v>
      </c>
      <c r="H342" s="12"/>
      <c r="I342" s="10">
        <f>RITable[[#This Row],[Price (3y)]]/RITable[[#This Row],[Ratio]] / 3</f>
        <v>0</v>
      </c>
    </row>
    <row r="343" spans="1:9" x14ac:dyDescent="0.3">
      <c r="A343" t="s">
        <v>290</v>
      </c>
      <c r="B343" t="s">
        <v>294</v>
      </c>
      <c r="C343">
        <v>8</v>
      </c>
      <c r="E343" s="12"/>
      <c r="F343" s="11">
        <f>RITable[[#This Row],[Price (1y)]]/RITable[[#This Row],[Ratio]]</f>
        <v>0</v>
      </c>
      <c r="H343" s="12"/>
      <c r="I343" s="10">
        <f>RITable[[#This Row],[Price (3y)]]/RITable[[#This Row],[Ratio]] / 3</f>
        <v>0</v>
      </c>
    </row>
    <row r="344" spans="1:9" x14ac:dyDescent="0.3">
      <c r="A344" t="s">
        <v>290</v>
      </c>
      <c r="B344" t="s">
        <v>295</v>
      </c>
      <c r="C344">
        <v>16</v>
      </c>
      <c r="E344" s="12"/>
      <c r="F344" s="11">
        <f>RITable[[#This Row],[Price (1y)]]/RITable[[#This Row],[Ratio]]</f>
        <v>0</v>
      </c>
      <c r="H344" s="12"/>
      <c r="I344" s="10">
        <f>RITable[[#This Row],[Price (3y)]]/RITable[[#This Row],[Ratio]] / 3</f>
        <v>0</v>
      </c>
    </row>
    <row r="345" spans="1:9" x14ac:dyDescent="0.3">
      <c r="A345" t="s">
        <v>290</v>
      </c>
      <c r="B345" t="s">
        <v>296</v>
      </c>
      <c r="C345">
        <v>24</v>
      </c>
      <c r="E345" s="12"/>
      <c r="F345" s="11">
        <f>RITable[[#This Row],[Price (1y)]]/RITable[[#This Row],[Ratio]]</f>
        <v>0</v>
      </c>
      <c r="H345" s="12"/>
      <c r="I345" s="10">
        <f>RITable[[#This Row],[Price (3y)]]/RITable[[#This Row],[Ratio]] / 3</f>
        <v>0</v>
      </c>
    </row>
    <row r="346" spans="1:9" x14ac:dyDescent="0.3">
      <c r="A346" t="s">
        <v>290</v>
      </c>
      <c r="B346" t="s">
        <v>297</v>
      </c>
      <c r="C346">
        <v>32</v>
      </c>
      <c r="E346" s="12"/>
      <c r="F346" s="11">
        <f>RITable[[#This Row],[Price (1y)]]/RITable[[#This Row],[Ratio]]</f>
        <v>0</v>
      </c>
      <c r="H346" s="12"/>
      <c r="I346" s="10">
        <f>RITable[[#This Row],[Price (3y)]]/RITable[[#This Row],[Ratio]] / 3</f>
        <v>0</v>
      </c>
    </row>
    <row r="347" spans="1:9" x14ac:dyDescent="0.3">
      <c r="A347" t="s">
        <v>290</v>
      </c>
      <c r="B347" t="s">
        <v>298</v>
      </c>
      <c r="C347">
        <v>48</v>
      </c>
      <c r="E347" s="12"/>
      <c r="F347" s="11">
        <f>RITable[[#This Row],[Price (1y)]]/RITable[[#This Row],[Ratio]]</f>
        <v>0</v>
      </c>
      <c r="H347" s="12"/>
      <c r="I347" s="10">
        <f>RITable[[#This Row],[Price (3y)]]/RITable[[#This Row],[Ratio]] / 3</f>
        <v>0</v>
      </c>
    </row>
    <row r="348" spans="1:9" x14ac:dyDescent="0.3">
      <c r="A348" t="s">
        <v>1090</v>
      </c>
      <c r="B348" t="s">
        <v>1091</v>
      </c>
      <c r="C348">
        <v>1</v>
      </c>
      <c r="E348" s="12"/>
      <c r="F348" s="11">
        <f>RITable[[#This Row],[Price (1y)]]/RITable[[#This Row],[Ratio]]</f>
        <v>0</v>
      </c>
      <c r="H348" s="12"/>
      <c r="I348" s="10">
        <f>RITable[[#This Row],[Price (3y)]]/RITable[[#This Row],[Ratio]] / 3</f>
        <v>0</v>
      </c>
    </row>
    <row r="349" spans="1:9" x14ac:dyDescent="0.3">
      <c r="A349" t="s">
        <v>299</v>
      </c>
      <c r="B349" t="s">
        <v>300</v>
      </c>
      <c r="C349">
        <v>1</v>
      </c>
      <c r="E349" s="12"/>
      <c r="F349" s="11">
        <f>RITable[[#This Row],[Price (1y)]]/RITable[[#This Row],[Ratio]]</f>
        <v>0</v>
      </c>
      <c r="H349" s="12"/>
      <c r="I349" s="10">
        <f>RITable[[#This Row],[Price (3y)]]/RITable[[#This Row],[Ratio]] / 3</f>
        <v>0</v>
      </c>
    </row>
    <row r="350" spans="1:9" x14ac:dyDescent="0.3">
      <c r="A350" t="s">
        <v>299</v>
      </c>
      <c r="B350" t="s">
        <v>301</v>
      </c>
      <c r="C350">
        <v>2</v>
      </c>
      <c r="E350" s="12"/>
      <c r="F350" s="11">
        <f>RITable[[#This Row],[Price (1y)]]/RITable[[#This Row],[Ratio]]</f>
        <v>0</v>
      </c>
      <c r="H350" s="12"/>
      <c r="I350" s="10">
        <f>RITable[[#This Row],[Price (3y)]]/RITable[[#This Row],[Ratio]] / 3</f>
        <v>0</v>
      </c>
    </row>
    <row r="351" spans="1:9" x14ac:dyDescent="0.3">
      <c r="A351" t="s">
        <v>299</v>
      </c>
      <c r="B351" t="s">
        <v>302</v>
      </c>
      <c r="C351">
        <v>4</v>
      </c>
      <c r="E351" s="12"/>
      <c r="F351" s="11">
        <f>RITable[[#This Row],[Price (1y)]]/RITable[[#This Row],[Ratio]]</f>
        <v>0</v>
      </c>
      <c r="H351" s="12"/>
      <c r="I351" s="10">
        <f>RITable[[#This Row],[Price (3y)]]/RITable[[#This Row],[Ratio]] / 3</f>
        <v>0</v>
      </c>
    </row>
    <row r="352" spans="1:9" x14ac:dyDescent="0.3">
      <c r="A352" t="s">
        <v>299</v>
      </c>
      <c r="B352" t="s">
        <v>303</v>
      </c>
      <c r="C352">
        <v>8</v>
      </c>
      <c r="E352" s="12"/>
      <c r="F352" s="11">
        <f>RITable[[#This Row],[Price (1y)]]/RITable[[#This Row],[Ratio]]</f>
        <v>0</v>
      </c>
      <c r="H352" s="12"/>
      <c r="I352" s="10">
        <f>RITable[[#This Row],[Price (3y)]]/RITable[[#This Row],[Ratio]] / 3</f>
        <v>0</v>
      </c>
    </row>
    <row r="353" spans="1:9" x14ac:dyDescent="0.3">
      <c r="A353" t="s">
        <v>299</v>
      </c>
      <c r="B353" t="s">
        <v>304</v>
      </c>
      <c r="C353">
        <v>16</v>
      </c>
      <c r="E353" s="12"/>
      <c r="F353" s="11">
        <f>RITable[[#This Row],[Price (1y)]]/RITable[[#This Row],[Ratio]]</f>
        <v>0</v>
      </c>
      <c r="H353" s="12"/>
      <c r="I353" s="10">
        <f>RITable[[#This Row],[Price (3y)]]/RITable[[#This Row],[Ratio]] / 3</f>
        <v>0</v>
      </c>
    </row>
    <row r="354" spans="1:9" x14ac:dyDescent="0.3">
      <c r="A354" t="s">
        <v>305</v>
      </c>
      <c r="B354" t="s">
        <v>306</v>
      </c>
      <c r="C354">
        <v>1</v>
      </c>
      <c r="E354" s="12"/>
      <c r="F354" s="11">
        <f>RITable[[#This Row],[Price (1y)]]/RITable[[#This Row],[Ratio]]</f>
        <v>0</v>
      </c>
      <c r="H354" s="12"/>
      <c r="I354" s="10">
        <f>RITable[[#This Row],[Price (3y)]]/RITable[[#This Row],[Ratio]] / 3</f>
        <v>0</v>
      </c>
    </row>
    <row r="355" spans="1:9" x14ac:dyDescent="0.3">
      <c r="A355" t="s">
        <v>305</v>
      </c>
      <c r="B355" t="s">
        <v>307</v>
      </c>
      <c r="C355">
        <v>2</v>
      </c>
      <c r="E355" s="12"/>
      <c r="F355" s="11">
        <f>RITable[[#This Row],[Price (1y)]]/RITable[[#This Row],[Ratio]]</f>
        <v>0</v>
      </c>
      <c r="H355" s="12"/>
      <c r="I355" s="10">
        <f>RITable[[#This Row],[Price (3y)]]/RITable[[#This Row],[Ratio]] / 3</f>
        <v>0</v>
      </c>
    </row>
    <row r="356" spans="1:9" x14ac:dyDescent="0.3">
      <c r="A356" t="s">
        <v>305</v>
      </c>
      <c r="B356" t="s">
        <v>308</v>
      </c>
      <c r="C356">
        <v>4</v>
      </c>
      <c r="E356" s="12"/>
      <c r="F356" s="11">
        <f>RITable[[#This Row],[Price (1y)]]/RITable[[#This Row],[Ratio]]</f>
        <v>0</v>
      </c>
      <c r="H356" s="12"/>
      <c r="I356" s="10">
        <f>RITable[[#This Row],[Price (3y)]]/RITable[[#This Row],[Ratio]] / 3</f>
        <v>0</v>
      </c>
    </row>
    <row r="357" spans="1:9" x14ac:dyDescent="0.3">
      <c r="A357" t="s">
        <v>305</v>
      </c>
      <c r="B357" t="s">
        <v>309</v>
      </c>
      <c r="C357">
        <v>8</v>
      </c>
      <c r="E357" s="12"/>
      <c r="F357" s="11">
        <f>RITable[[#This Row],[Price (1y)]]/RITable[[#This Row],[Ratio]]</f>
        <v>0</v>
      </c>
      <c r="H357" s="12"/>
      <c r="I357" s="10">
        <f>RITable[[#This Row],[Price (3y)]]/RITable[[#This Row],[Ratio]] / 3</f>
        <v>0</v>
      </c>
    </row>
    <row r="358" spans="1:9" x14ac:dyDescent="0.3">
      <c r="A358" t="s">
        <v>305</v>
      </c>
      <c r="B358" t="s">
        <v>310</v>
      </c>
      <c r="C358">
        <v>10</v>
      </c>
      <c r="E358" s="12"/>
      <c r="F358" s="11">
        <f>RITable[[#This Row],[Price (1y)]]/RITable[[#This Row],[Ratio]]</f>
        <v>0</v>
      </c>
      <c r="H358" s="12"/>
      <c r="I358" s="10">
        <f>RITable[[#This Row],[Price (3y)]]/RITable[[#This Row],[Ratio]] / 3</f>
        <v>0</v>
      </c>
    </row>
    <row r="359" spans="1:9" x14ac:dyDescent="0.3">
      <c r="A359" t="s">
        <v>311</v>
      </c>
      <c r="B359" t="s">
        <v>312</v>
      </c>
      <c r="C359">
        <v>1</v>
      </c>
      <c r="E359" s="12"/>
      <c r="F359" s="11">
        <f>RITable[[#This Row],[Price (1y)]]/RITable[[#This Row],[Ratio]]</f>
        <v>0</v>
      </c>
      <c r="H359" s="12"/>
      <c r="I359" s="10">
        <f>RITable[[#This Row],[Price (3y)]]/RITable[[#This Row],[Ratio]] / 3</f>
        <v>0</v>
      </c>
    </row>
    <row r="360" spans="1:9" x14ac:dyDescent="0.3">
      <c r="A360" t="s">
        <v>311</v>
      </c>
      <c r="B360" t="s">
        <v>313</v>
      </c>
      <c r="C360">
        <v>2</v>
      </c>
      <c r="E360" s="12"/>
      <c r="F360" s="11">
        <f>RITable[[#This Row],[Price (1y)]]/RITable[[#This Row],[Ratio]]</f>
        <v>0</v>
      </c>
      <c r="H360" s="12"/>
      <c r="I360" s="10">
        <f>RITable[[#This Row],[Price (3y)]]/RITable[[#This Row],[Ratio]] / 3</f>
        <v>0</v>
      </c>
    </row>
    <row r="361" spans="1:9" x14ac:dyDescent="0.3">
      <c r="A361" t="s">
        <v>311</v>
      </c>
      <c r="B361" t="s">
        <v>314</v>
      </c>
      <c r="C361">
        <v>4</v>
      </c>
      <c r="E361" s="12"/>
      <c r="F361" s="11">
        <f>RITable[[#This Row],[Price (1y)]]/RITable[[#This Row],[Ratio]]</f>
        <v>0</v>
      </c>
      <c r="H361" s="12"/>
      <c r="I361" s="10">
        <f>RITable[[#This Row],[Price (3y)]]/RITable[[#This Row],[Ratio]] / 3</f>
        <v>0</v>
      </c>
    </row>
    <row r="362" spans="1:9" x14ac:dyDescent="0.3">
      <c r="A362" t="s">
        <v>311</v>
      </c>
      <c r="B362" t="s">
        <v>315</v>
      </c>
      <c r="C362">
        <v>8</v>
      </c>
      <c r="E362" s="12"/>
      <c r="F362" s="11">
        <f>RITable[[#This Row],[Price (1y)]]/RITable[[#This Row],[Ratio]]</f>
        <v>0</v>
      </c>
      <c r="H362" s="12"/>
      <c r="I362" s="10">
        <f>RITable[[#This Row],[Price (3y)]]/RITable[[#This Row],[Ratio]] / 3</f>
        <v>0</v>
      </c>
    </row>
    <row r="363" spans="1:9" x14ac:dyDescent="0.3">
      <c r="A363" t="s">
        <v>311</v>
      </c>
      <c r="B363" t="s">
        <v>316</v>
      </c>
      <c r="C363">
        <v>16</v>
      </c>
      <c r="E363" s="12"/>
      <c r="F363" s="11">
        <f>RITable[[#This Row],[Price (1y)]]/RITable[[#This Row],[Ratio]]</f>
        <v>0</v>
      </c>
      <c r="H363" s="12"/>
      <c r="I363" s="10">
        <f>RITable[[#This Row],[Price (3y)]]/RITable[[#This Row],[Ratio]] / 3</f>
        <v>0</v>
      </c>
    </row>
    <row r="364" spans="1:9" x14ac:dyDescent="0.3">
      <c r="A364" t="s">
        <v>311</v>
      </c>
      <c r="B364" t="s">
        <v>317</v>
      </c>
      <c r="C364">
        <v>24</v>
      </c>
      <c r="E364" s="12"/>
      <c r="F364" s="11">
        <f>RITable[[#This Row],[Price (1y)]]/RITable[[#This Row],[Ratio]]</f>
        <v>0</v>
      </c>
      <c r="H364" s="12"/>
      <c r="I364" s="10">
        <f>RITable[[#This Row],[Price (3y)]]/RITable[[#This Row],[Ratio]] / 3</f>
        <v>0</v>
      </c>
    </row>
    <row r="365" spans="1:9" x14ac:dyDescent="0.3">
      <c r="A365" t="s">
        <v>311</v>
      </c>
      <c r="B365" t="s">
        <v>318</v>
      </c>
      <c r="C365">
        <v>32</v>
      </c>
      <c r="E365" s="12"/>
      <c r="F365" s="11">
        <f>RITable[[#This Row],[Price (1y)]]/RITable[[#This Row],[Ratio]]</f>
        <v>0</v>
      </c>
      <c r="H365" s="12"/>
      <c r="I365" s="10">
        <f>RITable[[#This Row],[Price (3y)]]/RITable[[#This Row],[Ratio]] / 3</f>
        <v>0</v>
      </c>
    </row>
    <row r="366" spans="1:9" x14ac:dyDescent="0.3">
      <c r="A366" t="s">
        <v>319</v>
      </c>
      <c r="B366" t="s">
        <v>320</v>
      </c>
      <c r="C366">
        <v>1</v>
      </c>
      <c r="E366" s="12"/>
      <c r="F366" s="11">
        <f>RITable[[#This Row],[Price (1y)]]/RITable[[#This Row],[Ratio]]</f>
        <v>0</v>
      </c>
      <c r="H366" s="12"/>
      <c r="I366" s="10">
        <f>RITable[[#This Row],[Price (3y)]]/RITable[[#This Row],[Ratio]] / 3</f>
        <v>0</v>
      </c>
    </row>
    <row r="367" spans="1:9" x14ac:dyDescent="0.3">
      <c r="A367" t="s">
        <v>319</v>
      </c>
      <c r="B367" t="s">
        <v>321</v>
      </c>
      <c r="C367">
        <v>2</v>
      </c>
      <c r="E367" s="12"/>
      <c r="F367" s="11">
        <f>RITable[[#This Row],[Price (1y)]]/RITable[[#This Row],[Ratio]]</f>
        <v>0</v>
      </c>
      <c r="H367" s="12"/>
      <c r="I367" s="10">
        <f>RITable[[#This Row],[Price (3y)]]/RITable[[#This Row],[Ratio]] / 3</f>
        <v>0</v>
      </c>
    </row>
    <row r="368" spans="1:9" x14ac:dyDescent="0.3">
      <c r="A368" t="s">
        <v>319</v>
      </c>
      <c r="B368" t="s">
        <v>322</v>
      </c>
      <c r="C368">
        <v>4</v>
      </c>
      <c r="E368" s="12"/>
      <c r="F368" s="11">
        <f>RITable[[#This Row],[Price (1y)]]/RITable[[#This Row],[Ratio]]</f>
        <v>0</v>
      </c>
      <c r="H368" s="12"/>
      <c r="I368" s="10">
        <f>RITable[[#This Row],[Price (3y)]]/RITable[[#This Row],[Ratio]] / 3</f>
        <v>0</v>
      </c>
    </row>
    <row r="369" spans="1:9" x14ac:dyDescent="0.3">
      <c r="A369" t="s">
        <v>319</v>
      </c>
      <c r="B369" t="s">
        <v>323</v>
      </c>
      <c r="C369">
        <v>8</v>
      </c>
      <c r="E369" s="12"/>
      <c r="F369" s="11">
        <f>RITable[[#This Row],[Price (1y)]]/RITable[[#This Row],[Ratio]]</f>
        <v>0</v>
      </c>
      <c r="H369" s="12"/>
      <c r="I369" s="10">
        <f>RITable[[#This Row],[Price (3y)]]/RITable[[#This Row],[Ratio]] / 3</f>
        <v>0</v>
      </c>
    </row>
    <row r="370" spans="1:9" x14ac:dyDescent="0.3">
      <c r="A370" t="s">
        <v>319</v>
      </c>
      <c r="B370" t="s">
        <v>324</v>
      </c>
      <c r="C370">
        <v>16</v>
      </c>
      <c r="E370" s="12"/>
      <c r="F370" s="11">
        <f>RITable[[#This Row],[Price (1y)]]/RITable[[#This Row],[Ratio]]</f>
        <v>0</v>
      </c>
      <c r="H370" s="12"/>
      <c r="I370" s="10">
        <f>RITable[[#This Row],[Price (3y)]]/RITable[[#This Row],[Ratio]] / 3</f>
        <v>0</v>
      </c>
    </row>
    <row r="371" spans="1:9" x14ac:dyDescent="0.3">
      <c r="A371" t="s">
        <v>319</v>
      </c>
      <c r="B371" t="s">
        <v>325</v>
      </c>
      <c r="C371">
        <v>24</v>
      </c>
      <c r="E371" s="12"/>
      <c r="F371" s="11">
        <f>RITable[[#This Row],[Price (1y)]]/RITable[[#This Row],[Ratio]]</f>
        <v>0</v>
      </c>
      <c r="H371" s="12"/>
      <c r="I371" s="10">
        <f>RITable[[#This Row],[Price (3y)]]/RITable[[#This Row],[Ratio]] / 3</f>
        <v>0</v>
      </c>
    </row>
    <row r="372" spans="1:9" x14ac:dyDescent="0.3">
      <c r="A372" t="s">
        <v>319</v>
      </c>
      <c r="B372" t="s">
        <v>326</v>
      </c>
      <c r="C372">
        <v>32</v>
      </c>
      <c r="E372" s="12"/>
      <c r="F372" s="11">
        <f>RITable[[#This Row],[Price (1y)]]/RITable[[#This Row],[Ratio]]</f>
        <v>0</v>
      </c>
      <c r="H372" s="12"/>
      <c r="I372" s="10">
        <f>RITable[[#This Row],[Price (3y)]]/RITable[[#This Row],[Ratio]] / 3</f>
        <v>0</v>
      </c>
    </row>
    <row r="373" spans="1:9" x14ac:dyDescent="0.3">
      <c r="A373" t="s">
        <v>327</v>
      </c>
      <c r="B373" t="s">
        <v>328</v>
      </c>
      <c r="C373">
        <v>1</v>
      </c>
      <c r="E373" s="12"/>
      <c r="F373" s="11">
        <f>RITable[[#This Row],[Price (1y)]]/RITable[[#This Row],[Ratio]]</f>
        <v>0</v>
      </c>
      <c r="H373" s="12"/>
      <c r="I373" s="10">
        <f>RITable[[#This Row],[Price (3y)]]/RITable[[#This Row],[Ratio]] / 3</f>
        <v>0</v>
      </c>
    </row>
    <row r="374" spans="1:9" x14ac:dyDescent="0.3">
      <c r="A374" t="s">
        <v>327</v>
      </c>
      <c r="B374" t="s">
        <v>329</v>
      </c>
      <c r="C374">
        <v>2</v>
      </c>
      <c r="E374" s="12"/>
      <c r="F374" s="11">
        <f>RITable[[#This Row],[Price (1y)]]/RITable[[#This Row],[Ratio]]</f>
        <v>0</v>
      </c>
      <c r="H374" s="12"/>
      <c r="I374" s="10">
        <f>RITable[[#This Row],[Price (3y)]]/RITable[[#This Row],[Ratio]] / 3</f>
        <v>0</v>
      </c>
    </row>
    <row r="375" spans="1:9" x14ac:dyDescent="0.3">
      <c r="A375" t="s">
        <v>327</v>
      </c>
      <c r="B375" t="s">
        <v>330</v>
      </c>
      <c r="C375">
        <v>4</v>
      </c>
      <c r="E375" s="12"/>
      <c r="F375" s="11">
        <f>RITable[[#This Row],[Price (1y)]]/RITable[[#This Row],[Ratio]]</f>
        <v>0</v>
      </c>
      <c r="H375" s="12"/>
      <c r="I375" s="10">
        <f>RITable[[#This Row],[Price (3y)]]/RITable[[#This Row],[Ratio]] / 3</f>
        <v>0</v>
      </c>
    </row>
    <row r="376" spans="1:9" x14ac:dyDescent="0.3">
      <c r="A376" t="s">
        <v>327</v>
      </c>
      <c r="B376" t="s">
        <v>331</v>
      </c>
      <c r="C376">
        <v>8</v>
      </c>
      <c r="E376" s="12"/>
      <c r="F376" s="11">
        <f>RITable[[#This Row],[Price (1y)]]/RITable[[#This Row],[Ratio]]</f>
        <v>0</v>
      </c>
      <c r="H376" s="12"/>
      <c r="I376" s="10">
        <f>RITable[[#This Row],[Price (3y)]]/RITable[[#This Row],[Ratio]] / 3</f>
        <v>0</v>
      </c>
    </row>
    <row r="377" spans="1:9" x14ac:dyDescent="0.3">
      <c r="A377" t="s">
        <v>327</v>
      </c>
      <c r="B377" t="s">
        <v>332</v>
      </c>
      <c r="C377">
        <v>16</v>
      </c>
      <c r="E377" s="12"/>
      <c r="F377" s="11">
        <f>RITable[[#This Row],[Price (1y)]]/RITable[[#This Row],[Ratio]]</f>
        <v>0</v>
      </c>
      <c r="H377" s="12"/>
      <c r="I377" s="10">
        <f>RITable[[#This Row],[Price (3y)]]/RITable[[#This Row],[Ratio]] / 3</f>
        <v>0</v>
      </c>
    </row>
    <row r="378" spans="1:9" x14ac:dyDescent="0.3">
      <c r="A378" t="s">
        <v>327</v>
      </c>
      <c r="B378" t="s">
        <v>333</v>
      </c>
      <c r="C378">
        <v>24</v>
      </c>
      <c r="E378" s="12"/>
      <c r="F378" s="11">
        <f>RITable[[#This Row],[Price (1y)]]/RITable[[#This Row],[Ratio]]</f>
        <v>0</v>
      </c>
      <c r="H378" s="12"/>
      <c r="I378" s="10">
        <f>RITable[[#This Row],[Price (3y)]]/RITable[[#This Row],[Ratio]] / 3</f>
        <v>0</v>
      </c>
    </row>
    <row r="379" spans="1:9" x14ac:dyDescent="0.3">
      <c r="A379" t="s">
        <v>327</v>
      </c>
      <c r="B379" t="s">
        <v>334</v>
      </c>
      <c r="C379">
        <v>32</v>
      </c>
      <c r="E379" s="12"/>
      <c r="F379" s="11">
        <f>RITable[[#This Row],[Price (1y)]]/RITable[[#This Row],[Ratio]]</f>
        <v>0</v>
      </c>
      <c r="H379" s="12"/>
      <c r="I379" s="10">
        <f>RITable[[#This Row],[Price (3y)]]/RITable[[#This Row],[Ratio]] / 3</f>
        <v>0</v>
      </c>
    </row>
    <row r="380" spans="1:9" x14ac:dyDescent="0.3">
      <c r="A380" t="s">
        <v>327</v>
      </c>
      <c r="B380" t="s">
        <v>335</v>
      </c>
      <c r="C380">
        <v>48</v>
      </c>
      <c r="E380" s="12"/>
      <c r="F380" s="11">
        <f>RITable[[#This Row],[Price (1y)]]/RITable[[#This Row],[Ratio]]</f>
        <v>0</v>
      </c>
      <c r="H380" s="12"/>
      <c r="I380" s="10">
        <f>RITable[[#This Row],[Price (3y)]]/RITable[[#This Row],[Ratio]] / 3</f>
        <v>0</v>
      </c>
    </row>
    <row r="381" spans="1:9" x14ac:dyDescent="0.3">
      <c r="A381" t="s">
        <v>1092</v>
      </c>
      <c r="B381" t="s">
        <v>1093</v>
      </c>
      <c r="C381">
        <v>1</v>
      </c>
      <c r="E381" s="12"/>
      <c r="F381" s="11">
        <f>RITable[[#This Row],[Price (1y)]]/RITable[[#This Row],[Ratio]]</f>
        <v>0</v>
      </c>
      <c r="H381" s="12"/>
      <c r="I381" s="10">
        <f>RITable[[#This Row],[Price (3y)]]/RITable[[#This Row],[Ratio]] / 3</f>
        <v>0</v>
      </c>
    </row>
    <row r="382" spans="1:9" x14ac:dyDescent="0.3">
      <c r="A382" t="s">
        <v>1094</v>
      </c>
      <c r="B382" t="s">
        <v>1095</v>
      </c>
      <c r="C382">
        <v>1</v>
      </c>
      <c r="E382" s="12"/>
      <c r="F382" s="11">
        <f>RITable[[#This Row],[Price (1y)]]/RITable[[#This Row],[Ratio]]</f>
        <v>0</v>
      </c>
      <c r="H382" s="12"/>
      <c r="I382" s="10">
        <f>RITable[[#This Row],[Price (3y)]]/RITable[[#This Row],[Ratio]] / 3</f>
        <v>0</v>
      </c>
    </row>
    <row r="383" spans="1:9" x14ac:dyDescent="0.3">
      <c r="A383" t="s">
        <v>1094</v>
      </c>
      <c r="B383" t="s">
        <v>1096</v>
      </c>
      <c r="C383">
        <v>2</v>
      </c>
      <c r="E383" s="12"/>
      <c r="F383" s="11">
        <f>RITable[[#This Row],[Price (1y)]]/RITable[[#This Row],[Ratio]]</f>
        <v>0</v>
      </c>
      <c r="H383" s="12"/>
      <c r="I383" s="10">
        <f>RITable[[#This Row],[Price (3y)]]/RITable[[#This Row],[Ratio]] / 3</f>
        <v>0</v>
      </c>
    </row>
    <row r="384" spans="1:9" x14ac:dyDescent="0.3">
      <c r="A384" t="s">
        <v>1094</v>
      </c>
      <c r="B384" t="s">
        <v>1097</v>
      </c>
      <c r="C384">
        <v>4</v>
      </c>
      <c r="E384" s="12"/>
      <c r="F384" s="11">
        <f>RITable[[#This Row],[Price (1y)]]/RITable[[#This Row],[Ratio]]</f>
        <v>0</v>
      </c>
      <c r="H384" s="12"/>
      <c r="I384" s="10">
        <f>RITable[[#This Row],[Price (3y)]]/RITable[[#This Row],[Ratio]] / 3</f>
        <v>0</v>
      </c>
    </row>
    <row r="385" spans="1:9" x14ac:dyDescent="0.3">
      <c r="A385" t="s">
        <v>1094</v>
      </c>
      <c r="B385" t="s">
        <v>1098</v>
      </c>
      <c r="C385">
        <v>8</v>
      </c>
      <c r="E385" s="12"/>
      <c r="F385" s="11">
        <f>RITable[[#This Row],[Price (1y)]]/RITable[[#This Row],[Ratio]]</f>
        <v>0</v>
      </c>
      <c r="H385" s="12"/>
      <c r="I385" s="10">
        <f>RITable[[#This Row],[Price (3y)]]/RITable[[#This Row],[Ratio]] / 3</f>
        <v>0</v>
      </c>
    </row>
    <row r="386" spans="1:9" x14ac:dyDescent="0.3">
      <c r="A386" t="s">
        <v>1094</v>
      </c>
      <c r="B386" t="s">
        <v>1099</v>
      </c>
      <c r="C386">
        <v>10</v>
      </c>
      <c r="E386" s="12"/>
      <c r="F386" s="11">
        <f>RITable[[#This Row],[Price (1y)]]/RITable[[#This Row],[Ratio]]</f>
        <v>0</v>
      </c>
      <c r="H386" s="12"/>
      <c r="I386" s="10">
        <f>RITable[[#This Row],[Price (3y)]]/RITable[[#This Row],[Ratio]] / 3</f>
        <v>0</v>
      </c>
    </row>
    <row r="387" spans="1:9" x14ac:dyDescent="0.3">
      <c r="A387" t="s">
        <v>1094</v>
      </c>
      <c r="B387" t="s">
        <v>1100</v>
      </c>
      <c r="C387">
        <v>16</v>
      </c>
      <c r="E387" s="12"/>
      <c r="F387" s="11">
        <f>RITable[[#This Row],[Price (1y)]]/RITable[[#This Row],[Ratio]]</f>
        <v>0</v>
      </c>
      <c r="H387" s="12"/>
      <c r="I387" s="10">
        <f>RITable[[#This Row],[Price (3y)]]/RITable[[#This Row],[Ratio]] / 3</f>
        <v>0</v>
      </c>
    </row>
    <row r="388" spans="1:9" x14ac:dyDescent="0.3">
      <c r="A388" t="s">
        <v>1094</v>
      </c>
      <c r="B388" t="s">
        <v>1101</v>
      </c>
      <c r="C388">
        <v>24</v>
      </c>
      <c r="E388" s="12"/>
      <c r="F388" s="11">
        <f>RITable[[#This Row],[Price (1y)]]/RITable[[#This Row],[Ratio]]</f>
        <v>0</v>
      </c>
      <c r="H388" s="12"/>
      <c r="I388" s="10">
        <f>RITable[[#This Row],[Price (3y)]]/RITable[[#This Row],[Ratio]] / 3</f>
        <v>0</v>
      </c>
    </row>
    <row r="389" spans="1:9" x14ac:dyDescent="0.3">
      <c r="A389" t="s">
        <v>1094</v>
      </c>
      <c r="B389" t="s">
        <v>1102</v>
      </c>
      <c r="C389">
        <v>32</v>
      </c>
      <c r="E389" s="12"/>
      <c r="F389" s="11">
        <f>RITable[[#This Row],[Price (1y)]]/RITable[[#This Row],[Ratio]]</f>
        <v>0</v>
      </c>
      <c r="H389" s="12"/>
      <c r="I389" s="10">
        <f>RITable[[#This Row],[Price (3y)]]/RITable[[#This Row],[Ratio]] / 3</f>
        <v>0</v>
      </c>
    </row>
    <row r="390" spans="1:9" x14ac:dyDescent="0.3">
      <c r="A390" t="s">
        <v>1094</v>
      </c>
      <c r="B390" t="s">
        <v>1103</v>
      </c>
      <c r="C390">
        <v>48</v>
      </c>
      <c r="E390" s="12"/>
      <c r="F390" s="11">
        <f>RITable[[#This Row],[Price (1y)]]/RITable[[#This Row],[Ratio]]</f>
        <v>0</v>
      </c>
      <c r="H390" s="12"/>
      <c r="I390" s="10">
        <f>RITable[[#This Row],[Price (3y)]]/RITable[[#This Row],[Ratio]] / 3</f>
        <v>0</v>
      </c>
    </row>
    <row r="391" spans="1:9" x14ac:dyDescent="0.3">
      <c r="A391" t="s">
        <v>1094</v>
      </c>
      <c r="B391" t="s">
        <v>1104</v>
      </c>
      <c r="C391">
        <v>48</v>
      </c>
      <c r="E391" s="12"/>
      <c r="F391" s="11">
        <f>RITable[[#This Row],[Price (1y)]]/RITable[[#This Row],[Ratio]]</f>
        <v>0</v>
      </c>
      <c r="H391" s="12"/>
      <c r="I391" s="10">
        <f>RITable[[#This Row],[Price (3y)]]/RITable[[#This Row],[Ratio]] / 3</f>
        <v>0</v>
      </c>
    </row>
    <row r="392" spans="1:9" x14ac:dyDescent="0.3">
      <c r="A392" t="s">
        <v>1105</v>
      </c>
      <c r="B392" t="s">
        <v>1106</v>
      </c>
      <c r="C392">
        <v>1</v>
      </c>
      <c r="E392" s="12"/>
      <c r="F392" s="11">
        <f>RITable[[#This Row],[Price (1y)]]/RITable[[#This Row],[Ratio]]</f>
        <v>0</v>
      </c>
      <c r="H392" s="12"/>
      <c r="I392" s="10">
        <f>RITable[[#This Row],[Price (3y)]]/RITable[[#This Row],[Ratio]] / 3</f>
        <v>0</v>
      </c>
    </row>
    <row r="393" spans="1:9" x14ac:dyDescent="0.3">
      <c r="A393" t="s">
        <v>1107</v>
      </c>
      <c r="B393" t="s">
        <v>1108</v>
      </c>
      <c r="C393">
        <v>1</v>
      </c>
      <c r="E393" s="12"/>
      <c r="F393" s="11">
        <f>RITable[[#This Row],[Price (1y)]]/RITable[[#This Row],[Ratio]]</f>
        <v>0</v>
      </c>
      <c r="H393" s="12"/>
      <c r="I393" s="10">
        <f>RITable[[#This Row],[Price (3y)]]/RITable[[#This Row],[Ratio]] / 3</f>
        <v>0</v>
      </c>
    </row>
    <row r="394" spans="1:9" x14ac:dyDescent="0.3">
      <c r="A394" t="s">
        <v>1107</v>
      </c>
      <c r="B394" t="s">
        <v>1109</v>
      </c>
      <c r="C394">
        <v>2</v>
      </c>
      <c r="E394" s="12"/>
      <c r="F394" s="11">
        <f>RITable[[#This Row],[Price (1y)]]/RITable[[#This Row],[Ratio]]</f>
        <v>0</v>
      </c>
      <c r="H394" s="12"/>
      <c r="I394" s="10">
        <f>RITable[[#This Row],[Price (3y)]]/RITable[[#This Row],[Ratio]] / 3</f>
        <v>0</v>
      </c>
    </row>
    <row r="395" spans="1:9" x14ac:dyDescent="0.3">
      <c r="A395" t="s">
        <v>1107</v>
      </c>
      <c r="B395" t="s">
        <v>1110</v>
      </c>
      <c r="C395">
        <v>4</v>
      </c>
      <c r="E395" s="12"/>
      <c r="F395" s="11">
        <f>RITable[[#This Row],[Price (1y)]]/RITable[[#This Row],[Ratio]]</f>
        <v>0</v>
      </c>
      <c r="H395" s="12"/>
      <c r="I395" s="10">
        <f>RITable[[#This Row],[Price (3y)]]/RITable[[#This Row],[Ratio]] / 3</f>
        <v>0</v>
      </c>
    </row>
    <row r="396" spans="1:9" x14ac:dyDescent="0.3">
      <c r="A396" t="s">
        <v>1107</v>
      </c>
      <c r="B396" t="s">
        <v>1111</v>
      </c>
      <c r="C396">
        <v>8</v>
      </c>
      <c r="E396" s="12"/>
      <c r="F396" s="11">
        <f>RITable[[#This Row],[Price (1y)]]/RITable[[#This Row],[Ratio]]</f>
        <v>0</v>
      </c>
      <c r="H396" s="12"/>
      <c r="I396" s="10">
        <f>RITable[[#This Row],[Price (3y)]]/RITable[[#This Row],[Ratio]] / 3</f>
        <v>0</v>
      </c>
    </row>
    <row r="397" spans="1:9" x14ac:dyDescent="0.3">
      <c r="A397" t="s">
        <v>1107</v>
      </c>
      <c r="B397" t="s">
        <v>1112</v>
      </c>
      <c r="C397">
        <v>10</v>
      </c>
      <c r="E397" s="12"/>
      <c r="F397" s="11">
        <f>RITable[[#This Row],[Price (1y)]]/RITable[[#This Row],[Ratio]]</f>
        <v>0</v>
      </c>
      <c r="H397" s="12"/>
      <c r="I397" s="10">
        <f>RITable[[#This Row],[Price (3y)]]/RITable[[#This Row],[Ratio]] / 3</f>
        <v>0</v>
      </c>
    </row>
    <row r="398" spans="1:9" x14ac:dyDescent="0.3">
      <c r="A398" t="s">
        <v>1107</v>
      </c>
      <c r="B398" t="s">
        <v>1113</v>
      </c>
      <c r="C398">
        <v>16</v>
      </c>
      <c r="E398" s="12"/>
      <c r="F398" s="11">
        <f>RITable[[#This Row],[Price (1y)]]/RITable[[#This Row],[Ratio]]</f>
        <v>0</v>
      </c>
      <c r="H398" s="12"/>
      <c r="I398" s="10">
        <f>RITable[[#This Row],[Price (3y)]]/RITable[[#This Row],[Ratio]] / 3</f>
        <v>0</v>
      </c>
    </row>
    <row r="399" spans="1:9" x14ac:dyDescent="0.3">
      <c r="A399" t="s">
        <v>1107</v>
      </c>
      <c r="B399" t="s">
        <v>1114</v>
      </c>
      <c r="C399">
        <v>24</v>
      </c>
      <c r="E399" s="12"/>
      <c r="F399" s="11">
        <f>RITable[[#This Row],[Price (1y)]]/RITable[[#This Row],[Ratio]]</f>
        <v>0</v>
      </c>
      <c r="H399" s="12"/>
      <c r="I399" s="10">
        <f>RITable[[#This Row],[Price (3y)]]/RITable[[#This Row],[Ratio]] / 3</f>
        <v>0</v>
      </c>
    </row>
    <row r="400" spans="1:9" x14ac:dyDescent="0.3">
      <c r="A400" t="s">
        <v>1107</v>
      </c>
      <c r="B400" t="s">
        <v>1115</v>
      </c>
      <c r="C400">
        <v>32</v>
      </c>
      <c r="E400" s="12"/>
      <c r="F400" s="11">
        <f>RITable[[#This Row],[Price (1y)]]/RITable[[#This Row],[Ratio]]</f>
        <v>0</v>
      </c>
      <c r="H400" s="12"/>
      <c r="I400" s="10">
        <f>RITable[[#This Row],[Price (3y)]]/RITable[[#This Row],[Ratio]] / 3</f>
        <v>0</v>
      </c>
    </row>
    <row r="401" spans="1:9" x14ac:dyDescent="0.3">
      <c r="A401" t="s">
        <v>1107</v>
      </c>
      <c r="B401" t="s">
        <v>1116</v>
      </c>
      <c r="C401">
        <v>48</v>
      </c>
      <c r="E401" s="12"/>
      <c r="F401" s="11">
        <f>RITable[[#This Row],[Price (1y)]]/RITable[[#This Row],[Ratio]]</f>
        <v>0</v>
      </c>
      <c r="H401" s="12"/>
      <c r="I401" s="10">
        <f>RITable[[#This Row],[Price (3y)]]/RITable[[#This Row],[Ratio]] / 3</f>
        <v>0</v>
      </c>
    </row>
    <row r="402" spans="1:9" x14ac:dyDescent="0.3">
      <c r="A402" t="s">
        <v>1107</v>
      </c>
      <c r="B402" t="s">
        <v>1117</v>
      </c>
      <c r="C402">
        <v>48</v>
      </c>
      <c r="E402" s="12"/>
      <c r="F402" s="11">
        <f>RITable[[#This Row],[Price (1y)]]/RITable[[#This Row],[Ratio]]</f>
        <v>0</v>
      </c>
      <c r="H402" s="12"/>
      <c r="I402" s="10">
        <f>RITable[[#This Row],[Price (3y)]]/RITable[[#This Row],[Ratio]] / 3</f>
        <v>0</v>
      </c>
    </row>
    <row r="403" spans="1:9" x14ac:dyDescent="0.3">
      <c r="A403" t="s">
        <v>44</v>
      </c>
      <c r="B403" t="s">
        <v>336</v>
      </c>
      <c r="C403">
        <v>1</v>
      </c>
      <c r="E403" s="12"/>
      <c r="F403" s="11">
        <f>RITable[[#This Row],[Price (1y)]]/RITable[[#This Row],[Ratio]]</f>
        <v>0</v>
      </c>
      <c r="H403" s="12"/>
      <c r="I403" s="10">
        <f>RITable[[#This Row],[Price (3y)]]/RITable[[#This Row],[Ratio]] / 3</f>
        <v>0</v>
      </c>
    </row>
    <row r="404" spans="1:9" x14ac:dyDescent="0.3">
      <c r="A404" t="s">
        <v>44</v>
      </c>
      <c r="B404" t="s">
        <v>337</v>
      </c>
      <c r="C404">
        <v>2</v>
      </c>
      <c r="E404" s="12"/>
      <c r="F404" s="11">
        <f>RITable[[#This Row],[Price (1y)]]/RITable[[#This Row],[Ratio]]</f>
        <v>0</v>
      </c>
      <c r="H404" s="12"/>
      <c r="I404" s="10">
        <f>RITable[[#This Row],[Price (3y)]]/RITable[[#This Row],[Ratio]] / 3</f>
        <v>0</v>
      </c>
    </row>
    <row r="405" spans="1:9" x14ac:dyDescent="0.3">
      <c r="A405" t="s">
        <v>44</v>
      </c>
      <c r="B405" t="s">
        <v>338</v>
      </c>
      <c r="C405">
        <v>2</v>
      </c>
      <c r="E405" s="12"/>
      <c r="F405" s="11">
        <f>RITable[[#This Row],[Price (1y)]]/RITable[[#This Row],[Ratio]]</f>
        <v>0</v>
      </c>
      <c r="H405" s="12"/>
      <c r="I405" s="10">
        <f>RITable[[#This Row],[Price (3y)]]/RITable[[#This Row],[Ratio]] / 3</f>
        <v>0</v>
      </c>
    </row>
    <row r="406" spans="1:9" x14ac:dyDescent="0.3">
      <c r="A406" t="s">
        <v>44</v>
      </c>
      <c r="B406" t="s">
        <v>340</v>
      </c>
      <c r="C406">
        <v>4</v>
      </c>
      <c r="E406" s="12"/>
      <c r="F406" s="11">
        <f>RITable[[#This Row],[Price (1y)]]/RITable[[#This Row],[Ratio]]</f>
        <v>0</v>
      </c>
      <c r="H406" s="12"/>
      <c r="I406" s="10">
        <f>RITable[[#This Row],[Price (3y)]]/RITable[[#This Row],[Ratio]] / 3</f>
        <v>0</v>
      </c>
    </row>
    <row r="407" spans="1:9" x14ac:dyDescent="0.3">
      <c r="A407" t="s">
        <v>44</v>
      </c>
      <c r="B407" t="s">
        <v>339</v>
      </c>
      <c r="C407">
        <v>4</v>
      </c>
      <c r="E407" s="12"/>
      <c r="F407" s="11">
        <f>RITable[[#This Row],[Price (1y)]]/RITable[[#This Row],[Ratio]]</f>
        <v>0</v>
      </c>
      <c r="H407" s="12"/>
      <c r="I407" s="10">
        <f>RITable[[#This Row],[Price (3y)]]/RITable[[#This Row],[Ratio]] / 3</f>
        <v>0</v>
      </c>
    </row>
    <row r="408" spans="1:9" x14ac:dyDescent="0.3">
      <c r="A408" t="s">
        <v>44</v>
      </c>
      <c r="B408" t="s">
        <v>341</v>
      </c>
      <c r="C408">
        <v>4</v>
      </c>
      <c r="E408" s="12"/>
      <c r="F408" s="11">
        <f>RITable[[#This Row],[Price (1y)]]/RITable[[#This Row],[Ratio]]</f>
        <v>0</v>
      </c>
      <c r="H408" s="12"/>
      <c r="I408" s="10">
        <f>RITable[[#This Row],[Price (3y)]]/RITable[[#This Row],[Ratio]] / 3</f>
        <v>0</v>
      </c>
    </row>
    <row r="409" spans="1:9" x14ac:dyDescent="0.3">
      <c r="A409" t="s">
        <v>44</v>
      </c>
      <c r="B409" t="s">
        <v>343</v>
      </c>
      <c r="C409">
        <v>8</v>
      </c>
      <c r="E409" s="12"/>
      <c r="F409" s="11">
        <f>RITable[[#This Row],[Price (1y)]]/RITable[[#This Row],[Ratio]]</f>
        <v>0</v>
      </c>
      <c r="H409" s="12"/>
      <c r="I409" s="10">
        <f>RITable[[#This Row],[Price (3y)]]/RITable[[#This Row],[Ratio]] / 3</f>
        <v>0</v>
      </c>
    </row>
    <row r="410" spans="1:9" x14ac:dyDescent="0.3">
      <c r="A410" t="s">
        <v>44</v>
      </c>
      <c r="B410" t="s">
        <v>344</v>
      </c>
      <c r="C410">
        <v>8</v>
      </c>
      <c r="E410" s="12"/>
      <c r="F410" s="11">
        <f>RITable[[#This Row],[Price (1y)]]/RITable[[#This Row],[Ratio]]</f>
        <v>0</v>
      </c>
      <c r="H410" s="12"/>
      <c r="I410" s="10">
        <f>RITable[[#This Row],[Price (3y)]]/RITable[[#This Row],[Ratio]] / 3</f>
        <v>0</v>
      </c>
    </row>
    <row r="411" spans="1:9" x14ac:dyDescent="0.3">
      <c r="A411" t="s">
        <v>44</v>
      </c>
      <c r="B411" t="s">
        <v>342</v>
      </c>
      <c r="C411">
        <v>8</v>
      </c>
      <c r="E411" s="12"/>
      <c r="F411" s="11">
        <f>RITable[[#This Row],[Price (1y)]]/RITable[[#This Row],[Ratio]]</f>
        <v>0</v>
      </c>
      <c r="H411" s="12"/>
      <c r="I411" s="10">
        <f>RITable[[#This Row],[Price (3y)]]/RITable[[#This Row],[Ratio]] / 3</f>
        <v>0</v>
      </c>
    </row>
    <row r="412" spans="1:9" x14ac:dyDescent="0.3">
      <c r="A412" t="s">
        <v>44</v>
      </c>
      <c r="B412" t="s">
        <v>345</v>
      </c>
      <c r="C412">
        <v>10</v>
      </c>
      <c r="E412" s="12"/>
      <c r="F412" s="11">
        <f>RITable[[#This Row],[Price (1y)]]/RITable[[#This Row],[Ratio]]</f>
        <v>0</v>
      </c>
      <c r="H412" s="12"/>
      <c r="I412" s="10">
        <f>RITable[[#This Row],[Price (3y)]]/RITable[[#This Row],[Ratio]] / 3</f>
        <v>0</v>
      </c>
    </row>
    <row r="413" spans="1:9" x14ac:dyDescent="0.3">
      <c r="A413" t="s">
        <v>44</v>
      </c>
      <c r="B413" t="s">
        <v>348</v>
      </c>
      <c r="C413">
        <v>16</v>
      </c>
      <c r="E413" s="12"/>
      <c r="F413" s="11">
        <f>RITable[[#This Row],[Price (1y)]]/RITable[[#This Row],[Ratio]]</f>
        <v>0</v>
      </c>
      <c r="H413" s="12"/>
      <c r="I413" s="10">
        <f>RITable[[#This Row],[Price (3y)]]/RITable[[#This Row],[Ratio]] / 3</f>
        <v>0</v>
      </c>
    </row>
    <row r="414" spans="1:9" x14ac:dyDescent="0.3">
      <c r="A414" t="s">
        <v>44</v>
      </c>
      <c r="B414" t="s">
        <v>346</v>
      </c>
      <c r="C414">
        <v>16</v>
      </c>
      <c r="E414" s="12"/>
      <c r="F414" s="11">
        <f>RITable[[#This Row],[Price (1y)]]/RITable[[#This Row],[Ratio]]</f>
        <v>0</v>
      </c>
      <c r="H414" s="12"/>
      <c r="I414" s="10">
        <f>RITable[[#This Row],[Price (3y)]]/RITable[[#This Row],[Ratio]] / 3</f>
        <v>0</v>
      </c>
    </row>
    <row r="415" spans="1:9" x14ac:dyDescent="0.3">
      <c r="A415" t="s">
        <v>44</v>
      </c>
      <c r="B415" t="s">
        <v>347</v>
      </c>
      <c r="C415">
        <v>16</v>
      </c>
      <c r="E415" s="12"/>
      <c r="F415" s="11">
        <f>RITable[[#This Row],[Price (1y)]]/RITable[[#This Row],[Ratio]]</f>
        <v>0</v>
      </c>
      <c r="H415" s="12"/>
      <c r="I415" s="10">
        <f>RITable[[#This Row],[Price (3y)]]/RITable[[#This Row],[Ratio]] / 3</f>
        <v>0</v>
      </c>
    </row>
    <row r="416" spans="1:9" x14ac:dyDescent="0.3">
      <c r="A416" t="s">
        <v>44</v>
      </c>
      <c r="B416" t="s">
        <v>349</v>
      </c>
      <c r="C416">
        <v>24</v>
      </c>
      <c r="E416" s="12"/>
      <c r="F416" s="11">
        <f>RITable[[#This Row],[Price (1y)]]/RITable[[#This Row],[Ratio]]</f>
        <v>0</v>
      </c>
      <c r="H416" s="12"/>
      <c r="I416" s="10">
        <f>RITable[[#This Row],[Price (3y)]]/RITable[[#This Row],[Ratio]] / 3</f>
        <v>0</v>
      </c>
    </row>
    <row r="417" spans="1:9" x14ac:dyDescent="0.3">
      <c r="A417" t="s">
        <v>44</v>
      </c>
      <c r="B417" t="s">
        <v>351</v>
      </c>
      <c r="C417">
        <v>28.8</v>
      </c>
      <c r="E417" s="12"/>
      <c r="F417" s="11">
        <f>RITable[[#This Row],[Price (1y)]]/RITable[[#This Row],[Ratio]]</f>
        <v>0</v>
      </c>
      <c r="H417" s="12"/>
      <c r="I417" s="10">
        <f>RITable[[#This Row],[Price (3y)]]/RITable[[#This Row],[Ratio]] / 3</f>
        <v>0</v>
      </c>
    </row>
    <row r="418" spans="1:9" x14ac:dyDescent="0.3">
      <c r="A418" t="s">
        <v>44</v>
      </c>
      <c r="B418" t="s">
        <v>350</v>
      </c>
      <c r="C418">
        <v>28.8</v>
      </c>
      <c r="E418" s="12"/>
      <c r="F418" s="11">
        <f>RITable[[#This Row],[Price (1y)]]/RITable[[#This Row],[Ratio]]</f>
        <v>0</v>
      </c>
      <c r="H418" s="12"/>
      <c r="I418" s="10">
        <f>RITable[[#This Row],[Price (3y)]]/RITable[[#This Row],[Ratio]] / 3</f>
        <v>0</v>
      </c>
    </row>
    <row r="419" spans="1:9" x14ac:dyDescent="0.3">
      <c r="A419" t="s">
        <v>44</v>
      </c>
      <c r="B419" t="s">
        <v>352</v>
      </c>
      <c r="C419">
        <v>28.8</v>
      </c>
      <c r="E419" s="12"/>
      <c r="F419" s="11">
        <f>RITable[[#This Row],[Price (1y)]]/RITable[[#This Row],[Ratio]]</f>
        <v>0</v>
      </c>
      <c r="H419" s="12"/>
      <c r="I419" s="10">
        <f>RITable[[#This Row],[Price (3y)]]/RITable[[#This Row],[Ratio]] / 3</f>
        <v>0</v>
      </c>
    </row>
    <row r="420" spans="1:9" x14ac:dyDescent="0.3">
      <c r="A420" t="s">
        <v>353</v>
      </c>
      <c r="B420" t="s">
        <v>354</v>
      </c>
      <c r="C420">
        <v>1</v>
      </c>
      <c r="E420" s="12"/>
      <c r="F420" s="11">
        <f>RITable[[#This Row],[Price (1y)]]/RITable[[#This Row],[Ratio]]</f>
        <v>0</v>
      </c>
      <c r="H420" s="12"/>
      <c r="I420" s="10">
        <f>RITable[[#This Row],[Price (3y)]]/RITable[[#This Row],[Ratio]] / 3</f>
        <v>0</v>
      </c>
    </row>
    <row r="421" spans="1:9" x14ac:dyDescent="0.3">
      <c r="A421" t="s">
        <v>353</v>
      </c>
      <c r="B421" t="s">
        <v>355</v>
      </c>
      <c r="C421">
        <v>1.1071428569999999</v>
      </c>
      <c r="E421" s="12"/>
      <c r="F421" s="11">
        <f>RITable[[#This Row],[Price (1y)]]/RITable[[#This Row],[Ratio]]</f>
        <v>0</v>
      </c>
      <c r="H421" s="12"/>
      <c r="I421" s="10">
        <f>RITable[[#This Row],[Price (3y)]]/RITable[[#This Row],[Ratio]] / 3</f>
        <v>0</v>
      </c>
    </row>
    <row r="422" spans="1:9" x14ac:dyDescent="0.3">
      <c r="A422" t="s">
        <v>353</v>
      </c>
      <c r="B422" t="s">
        <v>356</v>
      </c>
      <c r="C422">
        <v>1.428571429</v>
      </c>
      <c r="E422" s="12"/>
      <c r="F422" s="11">
        <f>RITable[[#This Row],[Price (1y)]]/RITable[[#This Row],[Ratio]]</f>
        <v>0</v>
      </c>
      <c r="H422" s="12"/>
      <c r="I422" s="10">
        <f>RITable[[#This Row],[Price (3y)]]/RITable[[#This Row],[Ratio]] / 3</f>
        <v>0</v>
      </c>
    </row>
    <row r="423" spans="1:9" x14ac:dyDescent="0.3">
      <c r="A423" t="s">
        <v>353</v>
      </c>
      <c r="B423" t="s">
        <v>357</v>
      </c>
      <c r="C423">
        <v>1.5</v>
      </c>
      <c r="E423" s="12"/>
      <c r="F423" s="11">
        <f>RITable[[#This Row],[Price (1y)]]/RITable[[#This Row],[Ratio]]</f>
        <v>0</v>
      </c>
      <c r="H423" s="12"/>
      <c r="I423" s="10">
        <f>RITable[[#This Row],[Price (3y)]]/RITable[[#This Row],[Ratio]] / 3</f>
        <v>0</v>
      </c>
    </row>
    <row r="424" spans="1:9" x14ac:dyDescent="0.3">
      <c r="A424" t="s">
        <v>358</v>
      </c>
      <c r="B424" t="s">
        <v>359</v>
      </c>
      <c r="C424">
        <v>1</v>
      </c>
      <c r="E424" s="12"/>
      <c r="F424" s="11">
        <f>RITable[[#This Row],[Price (1y)]]/RITable[[#This Row],[Ratio]]</f>
        <v>0</v>
      </c>
      <c r="H424" s="12"/>
      <c r="I424" s="10">
        <f>RITable[[#This Row],[Price (3y)]]/RITable[[#This Row],[Ratio]] / 3</f>
        <v>0</v>
      </c>
    </row>
    <row r="425" spans="1:9" x14ac:dyDescent="0.3">
      <c r="A425" t="s">
        <v>358</v>
      </c>
      <c r="B425" t="s">
        <v>575</v>
      </c>
      <c r="C425">
        <v>1</v>
      </c>
      <c r="E425" s="12"/>
      <c r="F425" s="11">
        <f>RITable[[#This Row],[Price (1y)]]/RITable[[#This Row],[Ratio]]</f>
        <v>0</v>
      </c>
      <c r="H425" s="12"/>
      <c r="I425" s="10">
        <f>RITable[[#This Row],[Price (3y)]]/RITable[[#This Row],[Ratio]] / 3</f>
        <v>0</v>
      </c>
    </row>
    <row r="426" spans="1:9" x14ac:dyDescent="0.3">
      <c r="A426" t="s">
        <v>358</v>
      </c>
      <c r="B426" t="s">
        <v>360</v>
      </c>
      <c r="C426">
        <v>1.3125</v>
      </c>
      <c r="E426" s="12"/>
      <c r="F426" s="11">
        <f>RITable[[#This Row],[Price (1y)]]/RITable[[#This Row],[Ratio]]</f>
        <v>0</v>
      </c>
      <c r="H426" s="12"/>
      <c r="I426" s="10">
        <f>RITable[[#This Row],[Price (3y)]]/RITable[[#This Row],[Ratio]] / 3</f>
        <v>0</v>
      </c>
    </row>
    <row r="427" spans="1:9" x14ac:dyDescent="0.3">
      <c r="A427" t="s">
        <v>361</v>
      </c>
      <c r="B427" t="s">
        <v>362</v>
      </c>
      <c r="C427">
        <v>1</v>
      </c>
      <c r="E427" s="12"/>
      <c r="F427" s="11">
        <f>RITable[[#This Row],[Price (1y)]]/RITable[[#This Row],[Ratio]]</f>
        <v>0</v>
      </c>
      <c r="H427" s="12"/>
      <c r="I427" s="10">
        <f>RITable[[#This Row],[Price (3y)]]/RITable[[#This Row],[Ratio]] / 3</f>
        <v>0</v>
      </c>
    </row>
    <row r="428" spans="1:9" x14ac:dyDescent="0.3">
      <c r="A428" t="s">
        <v>361</v>
      </c>
      <c r="B428" t="s">
        <v>363</v>
      </c>
      <c r="C428">
        <v>2</v>
      </c>
      <c r="E428" s="12"/>
      <c r="F428" s="11">
        <f>RITable[[#This Row],[Price (1y)]]/RITable[[#This Row],[Ratio]]</f>
        <v>0</v>
      </c>
      <c r="H428" s="12"/>
      <c r="I428" s="10">
        <f>RITable[[#This Row],[Price (3y)]]/RITable[[#This Row],[Ratio]] / 3</f>
        <v>0</v>
      </c>
    </row>
    <row r="429" spans="1:9" x14ac:dyDescent="0.3">
      <c r="A429" t="s">
        <v>361</v>
      </c>
      <c r="B429" t="s">
        <v>364</v>
      </c>
      <c r="C429">
        <v>4</v>
      </c>
      <c r="E429" s="12"/>
      <c r="F429" s="11">
        <f>RITable[[#This Row],[Price (1y)]]/RITable[[#This Row],[Ratio]]</f>
        <v>0</v>
      </c>
      <c r="H429" s="12"/>
      <c r="I429" s="10">
        <f>RITable[[#This Row],[Price (3y)]]/RITable[[#This Row],[Ratio]] / 3</f>
        <v>0</v>
      </c>
    </row>
    <row r="430" spans="1:9" x14ac:dyDescent="0.3">
      <c r="A430" t="s">
        <v>361</v>
      </c>
      <c r="B430" t="s">
        <v>365</v>
      </c>
      <c r="C430">
        <v>8</v>
      </c>
      <c r="E430" s="12"/>
      <c r="F430" s="11">
        <f>RITable[[#This Row],[Price (1y)]]/RITable[[#This Row],[Ratio]]</f>
        <v>0</v>
      </c>
      <c r="H430" s="12"/>
      <c r="I430" s="10">
        <f>RITable[[#This Row],[Price (3y)]]/RITable[[#This Row],[Ratio]] / 3</f>
        <v>0</v>
      </c>
    </row>
    <row r="431" spans="1:9" x14ac:dyDescent="0.3">
      <c r="A431" t="s">
        <v>361</v>
      </c>
      <c r="B431" t="s">
        <v>366</v>
      </c>
      <c r="C431">
        <v>10</v>
      </c>
      <c r="E431" s="12"/>
      <c r="F431" s="11">
        <f>RITable[[#This Row],[Price (1y)]]/RITable[[#This Row],[Ratio]]</f>
        <v>0</v>
      </c>
      <c r="H431" s="12"/>
      <c r="I431" s="10">
        <f>RITable[[#This Row],[Price (3y)]]/RITable[[#This Row],[Ratio]] / 3</f>
        <v>0</v>
      </c>
    </row>
    <row r="432" spans="1:9" x14ac:dyDescent="0.3">
      <c r="A432" t="s">
        <v>361</v>
      </c>
      <c r="B432" t="s">
        <v>367</v>
      </c>
      <c r="C432">
        <v>16</v>
      </c>
      <c r="E432" s="12"/>
      <c r="F432" s="11">
        <f>RITable[[#This Row],[Price (1y)]]/RITable[[#This Row],[Ratio]]</f>
        <v>0</v>
      </c>
      <c r="H432" s="12"/>
      <c r="I432" s="10">
        <f>RITable[[#This Row],[Price (3y)]]/RITable[[#This Row],[Ratio]] / 3</f>
        <v>0</v>
      </c>
    </row>
    <row r="433" spans="1:9" x14ac:dyDescent="0.3">
      <c r="A433" t="s">
        <v>361</v>
      </c>
      <c r="B433" t="s">
        <v>368</v>
      </c>
      <c r="C433">
        <v>24</v>
      </c>
      <c r="E433" s="12"/>
      <c r="F433" s="11">
        <f>RITable[[#This Row],[Price (1y)]]/RITable[[#This Row],[Ratio]]</f>
        <v>0</v>
      </c>
      <c r="H433" s="12"/>
      <c r="I433" s="10">
        <f>RITable[[#This Row],[Price (3y)]]/RITable[[#This Row],[Ratio]] / 3</f>
        <v>0</v>
      </c>
    </row>
    <row r="434" spans="1:9" x14ac:dyDescent="0.3">
      <c r="A434" t="s">
        <v>361</v>
      </c>
      <c r="B434" t="s">
        <v>369</v>
      </c>
      <c r="C434">
        <v>32</v>
      </c>
      <c r="E434" s="12"/>
      <c r="F434" s="11">
        <f>RITable[[#This Row],[Price (1y)]]/RITable[[#This Row],[Ratio]]</f>
        <v>0</v>
      </c>
      <c r="H434" s="12"/>
      <c r="I434" s="10">
        <f>RITable[[#This Row],[Price (3y)]]/RITable[[#This Row],[Ratio]] / 3</f>
        <v>0</v>
      </c>
    </row>
    <row r="435" spans="1:9" x14ac:dyDescent="0.3">
      <c r="A435" t="s">
        <v>361</v>
      </c>
      <c r="B435" t="s">
        <v>370</v>
      </c>
      <c r="C435">
        <v>48</v>
      </c>
      <c r="E435" s="12"/>
      <c r="F435" s="11">
        <f>RITable[[#This Row],[Price (1y)]]/RITable[[#This Row],[Ratio]]</f>
        <v>0</v>
      </c>
      <c r="H435" s="12"/>
      <c r="I435" s="10">
        <f>RITable[[#This Row],[Price (3y)]]/RITable[[#This Row],[Ratio]] / 3</f>
        <v>0</v>
      </c>
    </row>
    <row r="436" spans="1:9" x14ac:dyDescent="0.3">
      <c r="A436" t="s">
        <v>371</v>
      </c>
      <c r="B436" t="s">
        <v>372</v>
      </c>
      <c r="C436">
        <v>1</v>
      </c>
      <c r="E436" s="12"/>
      <c r="F436" s="11">
        <f>RITable[[#This Row],[Price (1y)]]/RITable[[#This Row],[Ratio]]</f>
        <v>0</v>
      </c>
      <c r="H436" s="12"/>
      <c r="I436" s="10">
        <f>RITable[[#This Row],[Price (3y)]]/RITable[[#This Row],[Ratio]] / 3</f>
        <v>0</v>
      </c>
    </row>
    <row r="437" spans="1:9" x14ac:dyDescent="0.3">
      <c r="A437" t="s">
        <v>371</v>
      </c>
      <c r="B437" t="s">
        <v>373</v>
      </c>
      <c r="C437">
        <v>2</v>
      </c>
      <c r="E437" s="12"/>
      <c r="F437" s="11">
        <f>RITable[[#This Row],[Price (1y)]]/RITable[[#This Row],[Ratio]]</f>
        <v>0</v>
      </c>
      <c r="H437" s="12"/>
      <c r="I437" s="10">
        <f>RITable[[#This Row],[Price (3y)]]/RITable[[#This Row],[Ratio]] / 3</f>
        <v>0</v>
      </c>
    </row>
    <row r="438" spans="1:9" x14ac:dyDescent="0.3">
      <c r="A438" t="s">
        <v>371</v>
      </c>
      <c r="B438" t="s">
        <v>374</v>
      </c>
      <c r="C438">
        <v>2</v>
      </c>
      <c r="E438" s="12"/>
      <c r="F438" s="11">
        <f>RITable[[#This Row],[Price (1y)]]/RITable[[#This Row],[Ratio]]</f>
        <v>0</v>
      </c>
      <c r="H438" s="12"/>
      <c r="I438" s="10">
        <f>RITable[[#This Row],[Price (3y)]]/RITable[[#This Row],[Ratio]] / 3</f>
        <v>0</v>
      </c>
    </row>
    <row r="439" spans="1:9" x14ac:dyDescent="0.3">
      <c r="A439" t="s">
        <v>371</v>
      </c>
      <c r="B439" t="s">
        <v>375</v>
      </c>
      <c r="C439">
        <v>4</v>
      </c>
      <c r="E439" s="12"/>
      <c r="F439" s="11">
        <f>RITable[[#This Row],[Price (1y)]]/RITable[[#This Row],[Ratio]]</f>
        <v>0</v>
      </c>
      <c r="H439" s="12"/>
      <c r="I439" s="10">
        <f>RITable[[#This Row],[Price (3y)]]/RITable[[#This Row],[Ratio]] / 3</f>
        <v>0</v>
      </c>
    </row>
    <row r="440" spans="1:9" x14ac:dyDescent="0.3">
      <c r="A440" t="s">
        <v>371</v>
      </c>
      <c r="B440" t="s">
        <v>377</v>
      </c>
      <c r="C440">
        <v>4</v>
      </c>
      <c r="E440" s="12"/>
      <c r="F440" s="11">
        <f>RITable[[#This Row],[Price (1y)]]/RITable[[#This Row],[Ratio]]</f>
        <v>0</v>
      </c>
      <c r="H440" s="12"/>
      <c r="I440" s="10">
        <f>RITable[[#This Row],[Price (3y)]]/RITable[[#This Row],[Ratio]] / 3</f>
        <v>0</v>
      </c>
    </row>
    <row r="441" spans="1:9" x14ac:dyDescent="0.3">
      <c r="A441" t="s">
        <v>371</v>
      </c>
      <c r="B441" t="s">
        <v>376</v>
      </c>
      <c r="C441">
        <v>4</v>
      </c>
      <c r="E441" s="12"/>
      <c r="F441" s="11">
        <f>RITable[[#This Row],[Price (1y)]]/RITable[[#This Row],[Ratio]]</f>
        <v>0</v>
      </c>
      <c r="H441" s="12"/>
      <c r="I441" s="10">
        <f>RITable[[#This Row],[Price (3y)]]/RITable[[#This Row],[Ratio]] / 3</f>
        <v>0</v>
      </c>
    </row>
    <row r="442" spans="1:9" x14ac:dyDescent="0.3">
      <c r="A442" t="s">
        <v>371</v>
      </c>
      <c r="B442" t="s">
        <v>380</v>
      </c>
      <c r="C442">
        <v>8</v>
      </c>
      <c r="E442" s="12"/>
      <c r="F442" s="11">
        <f>RITable[[#This Row],[Price (1y)]]/RITable[[#This Row],[Ratio]]</f>
        <v>0</v>
      </c>
      <c r="H442" s="12"/>
      <c r="I442" s="10">
        <f>RITable[[#This Row],[Price (3y)]]/RITable[[#This Row],[Ratio]] / 3</f>
        <v>0</v>
      </c>
    </row>
    <row r="443" spans="1:9" x14ac:dyDescent="0.3">
      <c r="A443" t="s">
        <v>371</v>
      </c>
      <c r="B443" t="s">
        <v>378</v>
      </c>
      <c r="C443">
        <v>8</v>
      </c>
      <c r="E443" s="12"/>
      <c r="F443" s="11">
        <f>RITable[[#This Row],[Price (1y)]]/RITable[[#This Row],[Ratio]]</f>
        <v>0</v>
      </c>
      <c r="H443" s="12"/>
      <c r="I443" s="10">
        <f>RITable[[#This Row],[Price (3y)]]/RITable[[#This Row],[Ratio]] / 3</f>
        <v>0</v>
      </c>
    </row>
    <row r="444" spans="1:9" x14ac:dyDescent="0.3">
      <c r="A444" t="s">
        <v>371</v>
      </c>
      <c r="B444" t="s">
        <v>379</v>
      </c>
      <c r="C444">
        <v>8</v>
      </c>
      <c r="E444" s="12"/>
      <c r="F444" s="11">
        <f>RITable[[#This Row],[Price (1y)]]/RITable[[#This Row],[Ratio]]</f>
        <v>0</v>
      </c>
      <c r="H444" s="12"/>
      <c r="I444" s="10">
        <f>RITable[[#This Row],[Price (3y)]]/RITable[[#This Row],[Ratio]] / 3</f>
        <v>0</v>
      </c>
    </row>
    <row r="445" spans="1:9" x14ac:dyDescent="0.3">
      <c r="A445" t="s">
        <v>371</v>
      </c>
      <c r="B445" t="s">
        <v>381</v>
      </c>
      <c r="C445">
        <v>10</v>
      </c>
      <c r="E445" s="12"/>
      <c r="F445" s="11">
        <f>RITable[[#This Row],[Price (1y)]]/RITable[[#This Row],[Ratio]]</f>
        <v>0</v>
      </c>
      <c r="H445" s="12"/>
      <c r="I445" s="10">
        <f>RITable[[#This Row],[Price (3y)]]/RITable[[#This Row],[Ratio]] / 3</f>
        <v>0</v>
      </c>
    </row>
    <row r="446" spans="1:9" x14ac:dyDescent="0.3">
      <c r="A446" t="s">
        <v>371</v>
      </c>
      <c r="B446" t="s">
        <v>383</v>
      </c>
      <c r="C446">
        <v>16</v>
      </c>
      <c r="E446" s="12"/>
      <c r="F446" s="11">
        <f>RITable[[#This Row],[Price (1y)]]/RITable[[#This Row],[Ratio]]</f>
        <v>0</v>
      </c>
      <c r="H446" s="12"/>
      <c r="I446" s="10">
        <f>RITable[[#This Row],[Price (3y)]]/RITable[[#This Row],[Ratio]] / 3</f>
        <v>0</v>
      </c>
    </row>
    <row r="447" spans="1:9" x14ac:dyDescent="0.3">
      <c r="A447" t="s">
        <v>371</v>
      </c>
      <c r="B447" t="s">
        <v>384</v>
      </c>
      <c r="C447">
        <v>16</v>
      </c>
      <c r="E447" s="12"/>
      <c r="F447" s="11">
        <f>RITable[[#This Row],[Price (1y)]]/RITable[[#This Row],[Ratio]]</f>
        <v>0</v>
      </c>
      <c r="H447" s="12"/>
      <c r="I447" s="10">
        <f>RITable[[#This Row],[Price (3y)]]/RITable[[#This Row],[Ratio]] / 3</f>
        <v>0</v>
      </c>
    </row>
    <row r="448" spans="1:9" x14ac:dyDescent="0.3">
      <c r="A448" t="s">
        <v>371</v>
      </c>
      <c r="B448" t="s">
        <v>382</v>
      </c>
      <c r="C448">
        <v>16</v>
      </c>
      <c r="E448" s="12"/>
      <c r="F448" s="11">
        <f>RITable[[#This Row],[Price (1y)]]/RITable[[#This Row],[Ratio]]</f>
        <v>0</v>
      </c>
      <c r="H448" s="12"/>
      <c r="I448" s="10">
        <f>RITable[[#This Row],[Price (3y)]]/RITable[[#This Row],[Ratio]] / 3</f>
        <v>0</v>
      </c>
    </row>
    <row r="449" spans="1:9" x14ac:dyDescent="0.3">
      <c r="A449" t="s">
        <v>371</v>
      </c>
      <c r="B449" t="s">
        <v>385</v>
      </c>
      <c r="C449">
        <v>24</v>
      </c>
      <c r="E449" s="12"/>
      <c r="F449" s="11">
        <f>RITable[[#This Row],[Price (1y)]]/RITable[[#This Row],[Ratio]]</f>
        <v>0</v>
      </c>
      <c r="H449" s="12"/>
      <c r="I449" s="10">
        <f>RITable[[#This Row],[Price (3y)]]/RITable[[#This Row],[Ratio]] / 3</f>
        <v>0</v>
      </c>
    </row>
    <row r="450" spans="1:9" x14ac:dyDescent="0.3">
      <c r="A450" t="s">
        <v>371</v>
      </c>
      <c r="B450" t="s">
        <v>388</v>
      </c>
      <c r="C450">
        <v>32</v>
      </c>
      <c r="E450" s="12"/>
      <c r="F450" s="11">
        <f>RITable[[#This Row],[Price (1y)]]/RITable[[#This Row],[Ratio]]</f>
        <v>0</v>
      </c>
      <c r="H450" s="12"/>
      <c r="I450" s="10">
        <f>RITable[[#This Row],[Price (3y)]]/RITable[[#This Row],[Ratio]] / 3</f>
        <v>0</v>
      </c>
    </row>
    <row r="451" spans="1:9" x14ac:dyDescent="0.3">
      <c r="A451" t="s">
        <v>371</v>
      </c>
      <c r="B451" t="s">
        <v>386</v>
      </c>
      <c r="C451">
        <v>32</v>
      </c>
      <c r="E451" s="12"/>
      <c r="F451" s="11">
        <f>RITable[[#This Row],[Price (1y)]]/RITable[[#This Row],[Ratio]]</f>
        <v>0</v>
      </c>
      <c r="H451" s="12"/>
      <c r="I451" s="10">
        <f>RITable[[#This Row],[Price (3y)]]/RITable[[#This Row],[Ratio]] / 3</f>
        <v>0</v>
      </c>
    </row>
    <row r="452" spans="1:9" x14ac:dyDescent="0.3">
      <c r="A452" t="s">
        <v>371</v>
      </c>
      <c r="B452" t="s">
        <v>387</v>
      </c>
      <c r="C452">
        <v>32</v>
      </c>
      <c r="E452" s="12"/>
      <c r="F452" s="11">
        <f>RITable[[#This Row],[Price (1y)]]/RITable[[#This Row],[Ratio]]</f>
        <v>0</v>
      </c>
      <c r="H452" s="12"/>
      <c r="I452" s="10">
        <f>RITable[[#This Row],[Price (3y)]]/RITable[[#This Row],[Ratio]] / 3</f>
        <v>0</v>
      </c>
    </row>
    <row r="453" spans="1:9" x14ac:dyDescent="0.3">
      <c r="A453" t="s">
        <v>371</v>
      </c>
      <c r="B453" t="s">
        <v>390</v>
      </c>
      <c r="C453">
        <v>48</v>
      </c>
      <c r="E453" s="12"/>
      <c r="F453" s="11">
        <f>RITable[[#This Row],[Price (1y)]]/RITable[[#This Row],[Ratio]]</f>
        <v>0</v>
      </c>
      <c r="H453" s="12"/>
      <c r="I453" s="10">
        <f>RITable[[#This Row],[Price (3y)]]/RITable[[#This Row],[Ratio]] / 3</f>
        <v>0</v>
      </c>
    </row>
    <row r="454" spans="1:9" x14ac:dyDescent="0.3">
      <c r="A454" t="s">
        <v>371</v>
      </c>
      <c r="B454" t="s">
        <v>391</v>
      </c>
      <c r="C454">
        <v>48</v>
      </c>
      <c r="E454" s="12"/>
      <c r="F454" s="11">
        <f>RITable[[#This Row],[Price (1y)]]/RITable[[#This Row],[Ratio]]</f>
        <v>0</v>
      </c>
      <c r="H454" s="12"/>
      <c r="I454" s="10">
        <f>RITable[[#This Row],[Price (3y)]]/RITable[[#This Row],[Ratio]] / 3</f>
        <v>0</v>
      </c>
    </row>
    <row r="455" spans="1:9" x14ac:dyDescent="0.3">
      <c r="A455" t="s">
        <v>371</v>
      </c>
      <c r="B455" t="s">
        <v>389</v>
      </c>
      <c r="C455">
        <v>48</v>
      </c>
      <c r="E455" s="12"/>
      <c r="F455" s="11">
        <f>RITable[[#This Row],[Price (1y)]]/RITable[[#This Row],[Ratio]]</f>
        <v>0</v>
      </c>
      <c r="H455" s="12"/>
      <c r="I455" s="10">
        <f>RITable[[#This Row],[Price (3y)]]/RITable[[#This Row],[Ratio]] / 3</f>
        <v>0</v>
      </c>
    </row>
    <row r="456" spans="1:9" x14ac:dyDescent="0.3">
      <c r="A456" t="s">
        <v>371</v>
      </c>
      <c r="B456" t="s">
        <v>392</v>
      </c>
      <c r="C456">
        <v>48</v>
      </c>
      <c r="E456" s="12"/>
      <c r="F456" s="11">
        <f>RITable[[#This Row],[Price (1y)]]/RITable[[#This Row],[Ratio]]</f>
        <v>0</v>
      </c>
      <c r="H456" s="12"/>
      <c r="I456" s="10">
        <f>RITable[[#This Row],[Price (3y)]]/RITable[[#This Row],[Ratio]] / 3</f>
        <v>0</v>
      </c>
    </row>
    <row r="457" spans="1:9" x14ac:dyDescent="0.3">
      <c r="A457" t="s">
        <v>371</v>
      </c>
      <c r="B457" t="s">
        <v>393</v>
      </c>
      <c r="C457">
        <v>56</v>
      </c>
      <c r="E457" s="12"/>
      <c r="F457" s="11">
        <f>RITable[[#This Row],[Price (1y)]]/RITable[[#This Row],[Ratio]]</f>
        <v>0</v>
      </c>
      <c r="H457" s="12"/>
      <c r="I457" s="10">
        <f>RITable[[#This Row],[Price (3y)]]/RITable[[#This Row],[Ratio]] / 3</f>
        <v>0</v>
      </c>
    </row>
    <row r="458" spans="1:9" x14ac:dyDescent="0.3">
      <c r="A458" t="s">
        <v>1118</v>
      </c>
      <c r="B458" t="s">
        <v>1119</v>
      </c>
      <c r="C458">
        <v>1</v>
      </c>
      <c r="E458" s="12"/>
      <c r="F458" s="11">
        <f>RITable[[#This Row],[Price (1y)]]/RITable[[#This Row],[Ratio]]</f>
        <v>0</v>
      </c>
      <c r="H458" s="12"/>
      <c r="I458" s="10">
        <f>RITable[[#This Row],[Price (3y)]]/RITable[[#This Row],[Ratio]] / 3</f>
        <v>0</v>
      </c>
    </row>
    <row r="459" spans="1:9" x14ac:dyDescent="0.3">
      <c r="A459" t="s">
        <v>42</v>
      </c>
      <c r="B459" t="s">
        <v>394</v>
      </c>
      <c r="C459">
        <v>1</v>
      </c>
      <c r="E459" s="12"/>
      <c r="F459" s="11">
        <f>RITable[[#This Row],[Price (1y)]]/RITable[[#This Row],[Ratio]]</f>
        <v>0</v>
      </c>
      <c r="H459" s="12"/>
      <c r="I459" s="10">
        <f>RITable[[#This Row],[Price (3y)]]/RITable[[#This Row],[Ratio]] / 3</f>
        <v>0</v>
      </c>
    </row>
    <row r="460" spans="1:9" x14ac:dyDescent="0.3">
      <c r="A460" t="s">
        <v>42</v>
      </c>
      <c r="B460" t="s">
        <v>396</v>
      </c>
      <c r="C460">
        <v>2</v>
      </c>
      <c r="E460" s="12"/>
      <c r="F460" s="11">
        <f>RITable[[#This Row],[Price (1y)]]/RITable[[#This Row],[Ratio]]</f>
        <v>0</v>
      </c>
      <c r="H460" s="12"/>
      <c r="I460" s="10">
        <f>RITable[[#This Row],[Price (3y)]]/RITable[[#This Row],[Ratio]] / 3</f>
        <v>0</v>
      </c>
    </row>
    <row r="461" spans="1:9" x14ac:dyDescent="0.3">
      <c r="A461" t="s">
        <v>42</v>
      </c>
      <c r="B461" t="s">
        <v>395</v>
      </c>
      <c r="C461">
        <v>2</v>
      </c>
      <c r="E461" s="12"/>
      <c r="F461" s="11">
        <f>RITable[[#This Row],[Price (1y)]]/RITable[[#This Row],[Ratio]]</f>
        <v>0</v>
      </c>
      <c r="H461" s="12"/>
      <c r="I461" s="10">
        <f>RITable[[#This Row],[Price (3y)]]/RITable[[#This Row],[Ratio]] / 3</f>
        <v>0</v>
      </c>
    </row>
    <row r="462" spans="1:9" x14ac:dyDescent="0.3">
      <c r="A462" t="s">
        <v>42</v>
      </c>
      <c r="B462" t="s">
        <v>397</v>
      </c>
      <c r="C462">
        <v>4</v>
      </c>
      <c r="E462" s="12"/>
      <c r="F462" s="11">
        <f>RITable[[#This Row],[Price (1y)]]/RITable[[#This Row],[Ratio]]</f>
        <v>0</v>
      </c>
      <c r="H462" s="12"/>
      <c r="I462" s="10">
        <f>RITable[[#This Row],[Price (3y)]]/RITable[[#This Row],[Ratio]] / 3</f>
        <v>0</v>
      </c>
    </row>
    <row r="463" spans="1:9" x14ac:dyDescent="0.3">
      <c r="A463" t="s">
        <v>42</v>
      </c>
      <c r="B463" t="s">
        <v>399</v>
      </c>
      <c r="C463">
        <v>4</v>
      </c>
      <c r="E463" s="12"/>
      <c r="F463" s="11">
        <f>RITable[[#This Row],[Price (1y)]]/RITable[[#This Row],[Ratio]]</f>
        <v>0</v>
      </c>
      <c r="H463" s="12"/>
      <c r="I463" s="10">
        <f>RITable[[#This Row],[Price (3y)]]/RITable[[#This Row],[Ratio]] / 3</f>
        <v>0</v>
      </c>
    </row>
    <row r="464" spans="1:9" x14ac:dyDescent="0.3">
      <c r="A464" t="s">
        <v>42</v>
      </c>
      <c r="B464" t="s">
        <v>398</v>
      </c>
      <c r="C464">
        <v>4</v>
      </c>
      <c r="E464" s="12"/>
      <c r="F464" s="11">
        <f>RITable[[#This Row],[Price (1y)]]/RITable[[#This Row],[Ratio]]</f>
        <v>0</v>
      </c>
      <c r="H464" s="12"/>
      <c r="I464" s="10">
        <f>RITable[[#This Row],[Price (3y)]]/RITable[[#This Row],[Ratio]] / 3</f>
        <v>0</v>
      </c>
    </row>
    <row r="465" spans="1:9" x14ac:dyDescent="0.3">
      <c r="A465" t="s">
        <v>42</v>
      </c>
      <c r="B465" t="s">
        <v>400</v>
      </c>
      <c r="C465">
        <v>8</v>
      </c>
      <c r="E465" s="12"/>
      <c r="F465" s="11">
        <f>RITable[[#This Row],[Price (1y)]]/RITable[[#This Row],[Ratio]]</f>
        <v>0</v>
      </c>
      <c r="H465" s="12"/>
      <c r="I465" s="10">
        <f>RITable[[#This Row],[Price (3y)]]/RITable[[#This Row],[Ratio]] / 3</f>
        <v>0</v>
      </c>
    </row>
    <row r="466" spans="1:9" x14ac:dyDescent="0.3">
      <c r="A466" t="s">
        <v>42</v>
      </c>
      <c r="B466" t="s">
        <v>402</v>
      </c>
      <c r="C466">
        <v>8</v>
      </c>
      <c r="E466" s="12"/>
      <c r="F466" s="11">
        <f>RITable[[#This Row],[Price (1y)]]/RITable[[#This Row],[Ratio]]</f>
        <v>0</v>
      </c>
      <c r="H466" s="12"/>
      <c r="I466" s="10">
        <f>RITable[[#This Row],[Price (3y)]]/RITable[[#This Row],[Ratio]] / 3</f>
        <v>0</v>
      </c>
    </row>
    <row r="467" spans="1:9" x14ac:dyDescent="0.3">
      <c r="A467" t="s">
        <v>42</v>
      </c>
      <c r="B467" t="s">
        <v>401</v>
      </c>
      <c r="C467">
        <v>8</v>
      </c>
      <c r="E467" s="12"/>
      <c r="F467" s="11">
        <f>RITable[[#This Row],[Price (1y)]]/RITable[[#This Row],[Ratio]]</f>
        <v>0</v>
      </c>
      <c r="H467" s="12"/>
      <c r="I467" s="10">
        <f>RITable[[#This Row],[Price (3y)]]/RITable[[#This Row],[Ratio]] / 3</f>
        <v>0</v>
      </c>
    </row>
    <row r="468" spans="1:9" x14ac:dyDescent="0.3">
      <c r="A468" t="s">
        <v>42</v>
      </c>
      <c r="B468" t="s">
        <v>403</v>
      </c>
      <c r="C468">
        <v>10</v>
      </c>
      <c r="E468" s="12"/>
      <c r="F468" s="11">
        <f>RITable[[#This Row],[Price (1y)]]/RITable[[#This Row],[Ratio]]</f>
        <v>0</v>
      </c>
      <c r="H468" s="12"/>
      <c r="I468" s="10">
        <f>RITable[[#This Row],[Price (3y)]]/RITable[[#This Row],[Ratio]] / 3</f>
        <v>0</v>
      </c>
    </row>
    <row r="469" spans="1:9" x14ac:dyDescent="0.3">
      <c r="A469" t="s">
        <v>42</v>
      </c>
      <c r="B469" t="s">
        <v>405</v>
      </c>
      <c r="C469">
        <v>16</v>
      </c>
      <c r="E469" s="12"/>
      <c r="F469" s="11">
        <f>RITable[[#This Row],[Price (1y)]]/RITable[[#This Row],[Ratio]]</f>
        <v>0</v>
      </c>
      <c r="H469" s="12"/>
      <c r="I469" s="10">
        <f>RITable[[#This Row],[Price (3y)]]/RITable[[#This Row],[Ratio]] / 3</f>
        <v>0</v>
      </c>
    </row>
    <row r="470" spans="1:9" x14ac:dyDescent="0.3">
      <c r="A470" t="s">
        <v>42</v>
      </c>
      <c r="B470" t="s">
        <v>404</v>
      </c>
      <c r="C470">
        <v>16</v>
      </c>
      <c r="E470" s="12"/>
      <c r="F470" s="11">
        <f>RITable[[#This Row],[Price (1y)]]/RITable[[#This Row],[Ratio]]</f>
        <v>0</v>
      </c>
      <c r="H470" s="12"/>
      <c r="I470" s="10">
        <f>RITable[[#This Row],[Price (3y)]]/RITable[[#This Row],[Ratio]] / 3</f>
        <v>0</v>
      </c>
    </row>
    <row r="471" spans="1:9" x14ac:dyDescent="0.3">
      <c r="A471" t="s">
        <v>42</v>
      </c>
      <c r="B471" t="s">
        <v>406</v>
      </c>
      <c r="C471">
        <v>16</v>
      </c>
      <c r="E471" s="12"/>
      <c r="F471" s="11">
        <f>RITable[[#This Row],[Price (1y)]]/RITable[[#This Row],[Ratio]]</f>
        <v>0</v>
      </c>
      <c r="H471" s="12"/>
      <c r="I471" s="10">
        <f>RITable[[#This Row],[Price (3y)]]/RITable[[#This Row],[Ratio]] / 3</f>
        <v>0</v>
      </c>
    </row>
    <row r="472" spans="1:9" x14ac:dyDescent="0.3">
      <c r="A472" t="s">
        <v>42</v>
      </c>
      <c r="B472" t="s">
        <v>407</v>
      </c>
      <c r="C472">
        <v>24</v>
      </c>
      <c r="E472" s="12"/>
      <c r="F472" s="11">
        <f>RITable[[#This Row],[Price (1y)]]/RITable[[#This Row],[Ratio]]</f>
        <v>0</v>
      </c>
      <c r="H472" s="12"/>
      <c r="I472" s="10">
        <f>RITable[[#This Row],[Price (3y)]]/RITable[[#This Row],[Ratio]] / 3</f>
        <v>0</v>
      </c>
    </row>
    <row r="473" spans="1:9" x14ac:dyDescent="0.3">
      <c r="A473" t="s">
        <v>42</v>
      </c>
      <c r="B473" t="s">
        <v>409</v>
      </c>
      <c r="C473">
        <v>32</v>
      </c>
      <c r="E473" s="12"/>
      <c r="F473" s="11">
        <f>RITable[[#This Row],[Price (1y)]]/RITable[[#This Row],[Ratio]]</f>
        <v>0</v>
      </c>
      <c r="H473" s="12"/>
      <c r="I473" s="10">
        <f>RITable[[#This Row],[Price (3y)]]/RITable[[#This Row],[Ratio]] / 3</f>
        <v>0</v>
      </c>
    </row>
    <row r="474" spans="1:9" x14ac:dyDescent="0.3">
      <c r="A474" t="s">
        <v>42</v>
      </c>
      <c r="B474" t="s">
        <v>408</v>
      </c>
      <c r="C474">
        <v>32</v>
      </c>
      <c r="E474" s="12"/>
      <c r="F474" s="11">
        <f>RITable[[#This Row],[Price (1y)]]/RITable[[#This Row],[Ratio]]</f>
        <v>0</v>
      </c>
      <c r="H474" s="12"/>
      <c r="I474" s="10">
        <f>RITable[[#This Row],[Price (3y)]]/RITable[[#This Row],[Ratio]] / 3</f>
        <v>0</v>
      </c>
    </row>
    <row r="475" spans="1:9" x14ac:dyDescent="0.3">
      <c r="A475" t="s">
        <v>42</v>
      </c>
      <c r="B475" t="s">
        <v>410</v>
      </c>
      <c r="C475">
        <v>32</v>
      </c>
      <c r="E475" s="12"/>
      <c r="F475" s="11">
        <f>RITable[[#This Row],[Price (1y)]]/RITable[[#This Row],[Ratio]]</f>
        <v>0</v>
      </c>
      <c r="H475" s="12"/>
      <c r="I475" s="10">
        <f>RITable[[#This Row],[Price (3y)]]/RITable[[#This Row],[Ratio]] / 3</f>
        <v>0</v>
      </c>
    </row>
    <row r="476" spans="1:9" x14ac:dyDescent="0.3">
      <c r="A476" t="s">
        <v>42</v>
      </c>
      <c r="B476" t="s">
        <v>411</v>
      </c>
      <c r="C476">
        <v>48</v>
      </c>
      <c r="E476" s="12"/>
      <c r="F476" s="11">
        <f>RITable[[#This Row],[Price (1y)]]/RITable[[#This Row],[Ratio]]</f>
        <v>0</v>
      </c>
      <c r="H476" s="12"/>
      <c r="I476" s="10">
        <f>RITable[[#This Row],[Price (3y)]]/RITable[[#This Row],[Ratio]] / 3</f>
        <v>0</v>
      </c>
    </row>
    <row r="477" spans="1:9" x14ac:dyDescent="0.3">
      <c r="A477" t="s">
        <v>42</v>
      </c>
      <c r="B477" t="s">
        <v>413</v>
      </c>
      <c r="C477">
        <v>48</v>
      </c>
      <c r="E477" s="12"/>
      <c r="F477" s="11">
        <f>RITable[[#This Row],[Price (1y)]]/RITable[[#This Row],[Ratio]]</f>
        <v>0</v>
      </c>
      <c r="H477" s="12"/>
      <c r="I477" s="10">
        <f>RITable[[#This Row],[Price (3y)]]/RITable[[#This Row],[Ratio]] / 3</f>
        <v>0</v>
      </c>
    </row>
    <row r="478" spans="1:9" x14ac:dyDescent="0.3">
      <c r="A478" t="s">
        <v>42</v>
      </c>
      <c r="B478" t="s">
        <v>412</v>
      </c>
      <c r="C478">
        <v>48</v>
      </c>
      <c r="E478" s="12"/>
      <c r="F478" s="11">
        <f>RITable[[#This Row],[Price (1y)]]/RITable[[#This Row],[Ratio]]</f>
        <v>0</v>
      </c>
      <c r="H478" s="12"/>
      <c r="I478" s="10">
        <f>RITable[[#This Row],[Price (3y)]]/RITable[[#This Row],[Ratio]] / 3</f>
        <v>0</v>
      </c>
    </row>
    <row r="479" spans="1:9" x14ac:dyDescent="0.3">
      <c r="A479" t="s">
        <v>42</v>
      </c>
      <c r="B479" t="s">
        <v>414</v>
      </c>
      <c r="C479">
        <v>48</v>
      </c>
      <c r="E479" s="12"/>
      <c r="F479" s="11">
        <f>RITable[[#This Row],[Price (1y)]]/RITable[[#This Row],[Ratio]]</f>
        <v>0</v>
      </c>
      <c r="H479" s="12"/>
      <c r="I479" s="10">
        <f>RITable[[#This Row],[Price (3y)]]/RITable[[#This Row],[Ratio]] / 3</f>
        <v>0</v>
      </c>
    </row>
    <row r="480" spans="1:9" x14ac:dyDescent="0.3">
      <c r="A480" t="s">
        <v>415</v>
      </c>
      <c r="B480" t="s">
        <v>416</v>
      </c>
      <c r="C480">
        <v>1</v>
      </c>
      <c r="E480" s="12"/>
      <c r="F480" s="11">
        <f>RITable[[#This Row],[Price (1y)]]/RITable[[#This Row],[Ratio]]</f>
        <v>0</v>
      </c>
      <c r="H480" s="12"/>
      <c r="I480" s="10">
        <f>RITable[[#This Row],[Price (3y)]]/RITable[[#This Row],[Ratio]] / 3</f>
        <v>0</v>
      </c>
    </row>
    <row r="481" spans="1:9" x14ac:dyDescent="0.3">
      <c r="A481" t="s">
        <v>415</v>
      </c>
      <c r="B481" t="s">
        <v>417</v>
      </c>
      <c r="C481">
        <v>1</v>
      </c>
      <c r="E481" s="12"/>
      <c r="F481" s="11">
        <f>RITable[[#This Row],[Price (1y)]]/RITable[[#This Row],[Ratio]]</f>
        <v>0</v>
      </c>
      <c r="H481" s="12"/>
      <c r="I481" s="10">
        <f>RITable[[#This Row],[Price (3y)]]/RITable[[#This Row],[Ratio]] / 3</f>
        <v>0</v>
      </c>
    </row>
    <row r="482" spans="1:9" x14ac:dyDescent="0.3">
      <c r="A482" t="s">
        <v>418</v>
      </c>
      <c r="B482" t="s">
        <v>419</v>
      </c>
      <c r="C482">
        <v>1</v>
      </c>
      <c r="E482" s="12"/>
      <c r="F482" s="11">
        <f>RITable[[#This Row],[Price (1y)]]/RITable[[#This Row],[Ratio]]</f>
        <v>0</v>
      </c>
      <c r="H482" s="12"/>
      <c r="I482" s="10">
        <f>RITable[[#This Row],[Price (3y)]]/RITable[[#This Row],[Ratio]] / 3</f>
        <v>0</v>
      </c>
    </row>
    <row r="483" spans="1:9" x14ac:dyDescent="0.3">
      <c r="A483" t="s">
        <v>418</v>
      </c>
      <c r="B483" t="s">
        <v>420</v>
      </c>
      <c r="C483">
        <v>2</v>
      </c>
      <c r="E483" s="12"/>
      <c r="F483" s="11">
        <f>RITable[[#This Row],[Price (1y)]]/RITable[[#This Row],[Ratio]]</f>
        <v>0</v>
      </c>
      <c r="H483" s="12"/>
      <c r="I483" s="10">
        <f>RITable[[#This Row],[Price (3y)]]/RITable[[#This Row],[Ratio]] / 3</f>
        <v>0</v>
      </c>
    </row>
    <row r="484" spans="1:9" x14ac:dyDescent="0.3">
      <c r="A484" t="s">
        <v>418</v>
      </c>
      <c r="B484" t="s">
        <v>421</v>
      </c>
      <c r="C484">
        <v>4</v>
      </c>
      <c r="E484" s="12"/>
      <c r="F484" s="11">
        <f>RITable[[#This Row],[Price (1y)]]/RITable[[#This Row],[Ratio]]</f>
        <v>0</v>
      </c>
      <c r="H484" s="12"/>
      <c r="I484" s="10">
        <f>RITable[[#This Row],[Price (3y)]]/RITable[[#This Row],[Ratio]] / 3</f>
        <v>0</v>
      </c>
    </row>
    <row r="485" spans="1:9" x14ac:dyDescent="0.3">
      <c r="A485" t="s">
        <v>418</v>
      </c>
      <c r="B485" t="s">
        <v>422</v>
      </c>
      <c r="C485">
        <v>8</v>
      </c>
      <c r="E485" s="12"/>
      <c r="F485" s="11">
        <f>RITable[[#This Row],[Price (1y)]]/RITable[[#This Row],[Ratio]]</f>
        <v>0</v>
      </c>
      <c r="H485" s="12"/>
      <c r="I485" s="10">
        <f>RITable[[#This Row],[Price (3y)]]/RITable[[#This Row],[Ratio]] / 3</f>
        <v>0</v>
      </c>
    </row>
    <row r="486" spans="1:9" x14ac:dyDescent="0.3">
      <c r="A486" t="s">
        <v>418</v>
      </c>
      <c r="B486" t="s">
        <v>423</v>
      </c>
      <c r="C486">
        <v>10</v>
      </c>
      <c r="E486" s="12"/>
      <c r="F486" s="11">
        <f>RITable[[#This Row],[Price (1y)]]/RITable[[#This Row],[Ratio]]</f>
        <v>0</v>
      </c>
      <c r="H486" s="12"/>
      <c r="I486" s="10">
        <f>RITable[[#This Row],[Price (3y)]]/RITable[[#This Row],[Ratio]] / 3</f>
        <v>0</v>
      </c>
    </row>
    <row r="487" spans="1:9" x14ac:dyDescent="0.3">
      <c r="A487" t="s">
        <v>418</v>
      </c>
      <c r="B487" t="s">
        <v>424</v>
      </c>
      <c r="C487">
        <v>16</v>
      </c>
      <c r="E487" s="12"/>
      <c r="F487" s="11">
        <f>RITable[[#This Row],[Price (1y)]]/RITable[[#This Row],[Ratio]]</f>
        <v>0</v>
      </c>
      <c r="H487" s="12"/>
      <c r="I487" s="10">
        <f>RITable[[#This Row],[Price (3y)]]/RITable[[#This Row],[Ratio]] / 3</f>
        <v>0</v>
      </c>
    </row>
    <row r="488" spans="1:9" x14ac:dyDescent="0.3">
      <c r="A488" t="s">
        <v>418</v>
      </c>
      <c r="B488" t="s">
        <v>425</v>
      </c>
      <c r="C488">
        <v>24</v>
      </c>
      <c r="E488" s="12"/>
      <c r="F488" s="11">
        <f>RITable[[#This Row],[Price (1y)]]/RITable[[#This Row],[Ratio]]</f>
        <v>0</v>
      </c>
      <c r="H488" s="12"/>
      <c r="I488" s="10">
        <f>RITable[[#This Row],[Price (3y)]]/RITable[[#This Row],[Ratio]] / 3</f>
        <v>0</v>
      </c>
    </row>
    <row r="489" spans="1:9" x14ac:dyDescent="0.3">
      <c r="A489" t="s">
        <v>418</v>
      </c>
      <c r="B489" t="s">
        <v>426</v>
      </c>
      <c r="C489">
        <v>32</v>
      </c>
      <c r="E489" s="12"/>
      <c r="F489" s="11">
        <f>RITable[[#This Row],[Price (1y)]]/RITable[[#This Row],[Ratio]]</f>
        <v>0</v>
      </c>
      <c r="H489" s="12"/>
      <c r="I489" s="10">
        <f>RITable[[#This Row],[Price (3y)]]/RITable[[#This Row],[Ratio]] / 3</f>
        <v>0</v>
      </c>
    </row>
    <row r="490" spans="1:9" x14ac:dyDescent="0.3">
      <c r="A490" t="s">
        <v>418</v>
      </c>
      <c r="B490" t="s">
        <v>427</v>
      </c>
      <c r="C490">
        <v>48</v>
      </c>
      <c r="E490" s="12"/>
      <c r="F490" s="11">
        <f>RITable[[#This Row],[Price (1y)]]/RITable[[#This Row],[Ratio]]</f>
        <v>0</v>
      </c>
      <c r="H490" s="12"/>
      <c r="I490" s="10">
        <f>RITable[[#This Row],[Price (3y)]]/RITable[[#This Row],[Ratio]] / 3</f>
        <v>0</v>
      </c>
    </row>
    <row r="491" spans="1:9" x14ac:dyDescent="0.3">
      <c r="A491" t="s">
        <v>428</v>
      </c>
      <c r="B491" t="s">
        <v>429</v>
      </c>
      <c r="C491">
        <v>1</v>
      </c>
      <c r="E491" s="12"/>
      <c r="F491" s="11">
        <f>RITable[[#This Row],[Price (1y)]]/RITable[[#This Row],[Ratio]]</f>
        <v>0</v>
      </c>
      <c r="H491" s="12"/>
      <c r="I491" s="10">
        <f>RITable[[#This Row],[Price (3y)]]/RITable[[#This Row],[Ratio]] / 3</f>
        <v>0</v>
      </c>
    </row>
    <row r="492" spans="1:9" x14ac:dyDescent="0.3">
      <c r="A492" t="s">
        <v>428</v>
      </c>
      <c r="B492" t="s">
        <v>430</v>
      </c>
      <c r="C492">
        <v>2</v>
      </c>
      <c r="E492" s="12"/>
      <c r="F492" s="11">
        <f>RITable[[#This Row],[Price (1y)]]/RITable[[#This Row],[Ratio]]</f>
        <v>0</v>
      </c>
      <c r="H492" s="12"/>
      <c r="I492" s="10">
        <f>RITable[[#This Row],[Price (3y)]]/RITable[[#This Row],[Ratio]] / 3</f>
        <v>0</v>
      </c>
    </row>
    <row r="493" spans="1:9" x14ac:dyDescent="0.3">
      <c r="A493" t="s">
        <v>428</v>
      </c>
      <c r="B493" t="s">
        <v>431</v>
      </c>
      <c r="C493">
        <v>4</v>
      </c>
      <c r="E493" s="12"/>
      <c r="F493" s="11">
        <f>RITable[[#This Row],[Price (1y)]]/RITable[[#This Row],[Ratio]]</f>
        <v>0</v>
      </c>
      <c r="H493" s="12"/>
      <c r="I493" s="10">
        <f>RITable[[#This Row],[Price (3y)]]/RITable[[#This Row],[Ratio]] / 3</f>
        <v>0</v>
      </c>
    </row>
    <row r="494" spans="1:9" x14ac:dyDescent="0.3">
      <c r="A494" t="s">
        <v>428</v>
      </c>
      <c r="B494" t="s">
        <v>432</v>
      </c>
      <c r="C494">
        <v>8</v>
      </c>
      <c r="E494" s="12"/>
      <c r="F494" s="11">
        <f>RITable[[#This Row],[Price (1y)]]/RITable[[#This Row],[Ratio]]</f>
        <v>0</v>
      </c>
      <c r="H494" s="12"/>
      <c r="I494" s="10">
        <f>RITable[[#This Row],[Price (3y)]]/RITable[[#This Row],[Ratio]] / 3</f>
        <v>0</v>
      </c>
    </row>
    <row r="495" spans="1:9" x14ac:dyDescent="0.3">
      <c r="A495" t="s">
        <v>428</v>
      </c>
      <c r="B495" t="s">
        <v>433</v>
      </c>
      <c r="C495">
        <v>10</v>
      </c>
      <c r="E495" s="12"/>
      <c r="F495" s="11">
        <f>RITable[[#This Row],[Price (1y)]]/RITable[[#This Row],[Ratio]]</f>
        <v>0</v>
      </c>
      <c r="H495" s="12"/>
      <c r="I495" s="10">
        <f>RITable[[#This Row],[Price (3y)]]/RITable[[#This Row],[Ratio]] / 3</f>
        <v>0</v>
      </c>
    </row>
    <row r="496" spans="1:9" x14ac:dyDescent="0.3">
      <c r="A496" t="s">
        <v>428</v>
      </c>
      <c r="B496" t="s">
        <v>434</v>
      </c>
      <c r="C496">
        <v>16</v>
      </c>
      <c r="E496" s="12"/>
      <c r="F496" s="11">
        <f>RITable[[#This Row],[Price (1y)]]/RITable[[#This Row],[Ratio]]</f>
        <v>0</v>
      </c>
      <c r="H496" s="12"/>
      <c r="I496" s="10">
        <f>RITable[[#This Row],[Price (3y)]]/RITable[[#This Row],[Ratio]] / 3</f>
        <v>0</v>
      </c>
    </row>
    <row r="497" spans="1:9" x14ac:dyDescent="0.3">
      <c r="A497" t="s">
        <v>428</v>
      </c>
      <c r="B497" t="s">
        <v>435</v>
      </c>
      <c r="C497">
        <v>24</v>
      </c>
      <c r="E497" s="12"/>
      <c r="F497" s="11">
        <f>RITable[[#This Row],[Price (1y)]]/RITable[[#This Row],[Ratio]]</f>
        <v>0</v>
      </c>
      <c r="H497" s="12"/>
      <c r="I497" s="10">
        <f>RITable[[#This Row],[Price (3y)]]/RITable[[#This Row],[Ratio]] / 3</f>
        <v>0</v>
      </c>
    </row>
    <row r="498" spans="1:9" x14ac:dyDescent="0.3">
      <c r="A498" t="s">
        <v>428</v>
      </c>
      <c r="B498" t="s">
        <v>436</v>
      </c>
      <c r="C498">
        <v>32</v>
      </c>
      <c r="E498" s="12"/>
      <c r="F498" s="11">
        <f>RITable[[#This Row],[Price (1y)]]/RITable[[#This Row],[Ratio]]</f>
        <v>0</v>
      </c>
      <c r="H498" s="12"/>
      <c r="I498" s="10">
        <f>RITable[[#This Row],[Price (3y)]]/RITable[[#This Row],[Ratio]] / 3</f>
        <v>0</v>
      </c>
    </row>
    <row r="499" spans="1:9" x14ac:dyDescent="0.3">
      <c r="A499" t="s">
        <v>428</v>
      </c>
      <c r="B499" t="s">
        <v>437</v>
      </c>
      <c r="C499">
        <v>48</v>
      </c>
      <c r="E499" s="12"/>
      <c r="F499" s="11">
        <f>RITable[[#This Row],[Price (1y)]]/RITable[[#This Row],[Ratio]]</f>
        <v>0</v>
      </c>
      <c r="H499" s="12"/>
      <c r="I499" s="10">
        <f>RITable[[#This Row],[Price (3y)]]/RITable[[#This Row],[Ratio]] / 3</f>
        <v>0</v>
      </c>
    </row>
    <row r="500" spans="1:9" x14ac:dyDescent="0.3">
      <c r="A500" t="s">
        <v>438</v>
      </c>
      <c r="B500" t="s">
        <v>439</v>
      </c>
      <c r="C500">
        <v>1</v>
      </c>
      <c r="E500" s="12"/>
      <c r="F500" s="11">
        <f>RITable[[#This Row],[Price (1y)]]/RITable[[#This Row],[Ratio]]</f>
        <v>0</v>
      </c>
      <c r="H500" s="12"/>
      <c r="I500" s="10">
        <f>RITable[[#This Row],[Price (3y)]]/RITable[[#This Row],[Ratio]] / 3</f>
        <v>0</v>
      </c>
    </row>
    <row r="501" spans="1:9" x14ac:dyDescent="0.3">
      <c r="A501" t="s">
        <v>438</v>
      </c>
      <c r="B501" t="s">
        <v>440</v>
      </c>
      <c r="C501">
        <v>2</v>
      </c>
      <c r="E501" s="12"/>
      <c r="F501" s="11">
        <f>RITable[[#This Row],[Price (1y)]]/RITable[[#This Row],[Ratio]]</f>
        <v>0</v>
      </c>
      <c r="H501" s="12"/>
      <c r="I501" s="10">
        <f>RITable[[#This Row],[Price (3y)]]/RITable[[#This Row],[Ratio]] / 3</f>
        <v>0</v>
      </c>
    </row>
    <row r="502" spans="1:9" x14ac:dyDescent="0.3">
      <c r="A502" t="s">
        <v>438</v>
      </c>
      <c r="B502" t="s">
        <v>441</v>
      </c>
      <c r="C502">
        <v>2</v>
      </c>
      <c r="E502" s="12"/>
      <c r="F502" s="11">
        <f>RITable[[#This Row],[Price (1y)]]/RITable[[#This Row],[Ratio]]</f>
        <v>0</v>
      </c>
      <c r="H502" s="12"/>
      <c r="I502" s="10">
        <f>RITable[[#This Row],[Price (3y)]]/RITable[[#This Row],[Ratio]] / 3</f>
        <v>0</v>
      </c>
    </row>
    <row r="503" spans="1:9" x14ac:dyDescent="0.3">
      <c r="A503" t="s">
        <v>438</v>
      </c>
      <c r="B503" t="s">
        <v>442</v>
      </c>
      <c r="C503">
        <v>4</v>
      </c>
      <c r="E503" s="12"/>
      <c r="F503" s="11">
        <f>RITable[[#This Row],[Price (1y)]]/RITable[[#This Row],[Ratio]]</f>
        <v>0</v>
      </c>
      <c r="H503" s="12"/>
      <c r="I503" s="10">
        <f>RITable[[#This Row],[Price (3y)]]/RITable[[#This Row],[Ratio]] / 3</f>
        <v>0</v>
      </c>
    </row>
    <row r="504" spans="1:9" x14ac:dyDescent="0.3">
      <c r="A504" t="s">
        <v>438</v>
      </c>
      <c r="B504" t="s">
        <v>443</v>
      </c>
      <c r="C504">
        <v>4</v>
      </c>
      <c r="E504" s="12"/>
      <c r="F504" s="11">
        <f>RITable[[#This Row],[Price (1y)]]/RITable[[#This Row],[Ratio]]</f>
        <v>0</v>
      </c>
      <c r="H504" s="12"/>
      <c r="I504" s="10">
        <f>RITable[[#This Row],[Price (3y)]]/RITable[[#This Row],[Ratio]] / 3</f>
        <v>0</v>
      </c>
    </row>
    <row r="505" spans="1:9" x14ac:dyDescent="0.3">
      <c r="A505" t="s">
        <v>438</v>
      </c>
      <c r="B505" t="s">
        <v>444</v>
      </c>
      <c r="C505">
        <v>4</v>
      </c>
      <c r="E505" s="12"/>
      <c r="F505" s="11">
        <f>RITable[[#This Row],[Price (1y)]]/RITable[[#This Row],[Ratio]]</f>
        <v>0</v>
      </c>
      <c r="H505" s="12"/>
      <c r="I505" s="10">
        <f>RITable[[#This Row],[Price (3y)]]/RITable[[#This Row],[Ratio]] / 3</f>
        <v>0</v>
      </c>
    </row>
    <row r="506" spans="1:9" x14ac:dyDescent="0.3">
      <c r="A506" t="s">
        <v>438</v>
      </c>
      <c r="B506" t="s">
        <v>447</v>
      </c>
      <c r="C506">
        <v>8</v>
      </c>
      <c r="E506" s="12"/>
      <c r="F506" s="11">
        <f>RITable[[#This Row],[Price (1y)]]/RITable[[#This Row],[Ratio]]</f>
        <v>0</v>
      </c>
      <c r="H506" s="12"/>
      <c r="I506" s="10">
        <f>RITable[[#This Row],[Price (3y)]]/RITable[[#This Row],[Ratio]] / 3</f>
        <v>0</v>
      </c>
    </row>
    <row r="507" spans="1:9" x14ac:dyDescent="0.3">
      <c r="A507" t="s">
        <v>438</v>
      </c>
      <c r="B507" t="s">
        <v>446</v>
      </c>
      <c r="C507">
        <v>8</v>
      </c>
      <c r="E507" s="12"/>
      <c r="F507" s="11">
        <f>RITable[[#This Row],[Price (1y)]]/RITable[[#This Row],[Ratio]]</f>
        <v>0</v>
      </c>
      <c r="H507" s="12"/>
      <c r="I507" s="10">
        <f>RITable[[#This Row],[Price (3y)]]/RITable[[#This Row],[Ratio]] / 3</f>
        <v>0</v>
      </c>
    </row>
    <row r="508" spans="1:9" x14ac:dyDescent="0.3">
      <c r="A508" t="s">
        <v>438</v>
      </c>
      <c r="B508" t="s">
        <v>445</v>
      </c>
      <c r="C508">
        <v>8</v>
      </c>
      <c r="E508" s="12"/>
      <c r="F508" s="11">
        <f>RITable[[#This Row],[Price (1y)]]/RITable[[#This Row],[Ratio]]</f>
        <v>0</v>
      </c>
      <c r="H508" s="12"/>
      <c r="I508" s="10">
        <f>RITable[[#This Row],[Price (3y)]]/RITable[[#This Row],[Ratio]] / 3</f>
        <v>0</v>
      </c>
    </row>
    <row r="509" spans="1:9" x14ac:dyDescent="0.3">
      <c r="A509" t="s">
        <v>438</v>
      </c>
      <c r="B509" t="s">
        <v>448</v>
      </c>
      <c r="C509">
        <v>10</v>
      </c>
      <c r="E509" s="12"/>
      <c r="F509" s="11">
        <f>RITable[[#This Row],[Price (1y)]]/RITable[[#This Row],[Ratio]]</f>
        <v>0</v>
      </c>
      <c r="H509" s="12"/>
      <c r="I509" s="10">
        <f>RITable[[#This Row],[Price (3y)]]/RITable[[#This Row],[Ratio]] / 3</f>
        <v>0</v>
      </c>
    </row>
    <row r="510" spans="1:9" x14ac:dyDescent="0.3">
      <c r="A510" t="s">
        <v>438</v>
      </c>
      <c r="B510" t="s">
        <v>450</v>
      </c>
      <c r="C510">
        <v>16</v>
      </c>
      <c r="E510" s="12"/>
      <c r="F510" s="11">
        <f>RITable[[#This Row],[Price (1y)]]/RITable[[#This Row],[Ratio]]</f>
        <v>0</v>
      </c>
      <c r="H510" s="12"/>
      <c r="I510" s="10">
        <f>RITable[[#This Row],[Price (3y)]]/RITable[[#This Row],[Ratio]] / 3</f>
        <v>0</v>
      </c>
    </row>
    <row r="511" spans="1:9" x14ac:dyDescent="0.3">
      <c r="A511" t="s">
        <v>438</v>
      </c>
      <c r="B511" t="s">
        <v>449</v>
      </c>
      <c r="C511">
        <v>16</v>
      </c>
      <c r="E511" s="12"/>
      <c r="F511" s="11">
        <f>RITable[[#This Row],[Price (1y)]]/RITable[[#This Row],[Ratio]]</f>
        <v>0</v>
      </c>
      <c r="H511" s="12"/>
      <c r="I511" s="10">
        <f>RITable[[#This Row],[Price (3y)]]/RITable[[#This Row],[Ratio]] / 3</f>
        <v>0</v>
      </c>
    </row>
    <row r="512" spans="1:9" x14ac:dyDescent="0.3">
      <c r="A512" t="s">
        <v>438</v>
      </c>
      <c r="B512" t="s">
        <v>451</v>
      </c>
      <c r="C512">
        <v>16</v>
      </c>
      <c r="E512" s="12"/>
      <c r="F512" s="11">
        <f>RITable[[#This Row],[Price (1y)]]/RITable[[#This Row],[Ratio]]</f>
        <v>0</v>
      </c>
      <c r="H512" s="12"/>
      <c r="I512" s="10">
        <f>RITable[[#This Row],[Price (3y)]]/RITable[[#This Row],[Ratio]] / 3</f>
        <v>0</v>
      </c>
    </row>
    <row r="513" spans="1:9" x14ac:dyDescent="0.3">
      <c r="A513" t="s">
        <v>438</v>
      </c>
      <c r="B513" t="s">
        <v>452</v>
      </c>
      <c r="C513">
        <v>24</v>
      </c>
      <c r="E513" s="12"/>
      <c r="F513" s="11">
        <f>RITable[[#This Row],[Price (1y)]]/RITable[[#This Row],[Ratio]]</f>
        <v>0</v>
      </c>
      <c r="H513" s="12"/>
      <c r="I513" s="10">
        <f>RITable[[#This Row],[Price (3y)]]/RITable[[#This Row],[Ratio]] / 3</f>
        <v>0</v>
      </c>
    </row>
    <row r="514" spans="1:9" x14ac:dyDescent="0.3">
      <c r="A514" t="s">
        <v>438</v>
      </c>
      <c r="B514" t="s">
        <v>453</v>
      </c>
      <c r="C514">
        <v>32</v>
      </c>
      <c r="E514" s="12"/>
      <c r="F514" s="11">
        <f>RITable[[#This Row],[Price (1y)]]/RITable[[#This Row],[Ratio]]</f>
        <v>0</v>
      </c>
      <c r="H514" s="12"/>
      <c r="I514" s="10">
        <f>RITable[[#This Row],[Price (3y)]]/RITable[[#This Row],[Ratio]] / 3</f>
        <v>0</v>
      </c>
    </row>
    <row r="515" spans="1:9" x14ac:dyDescent="0.3">
      <c r="A515" t="s">
        <v>438</v>
      </c>
      <c r="B515" t="s">
        <v>454</v>
      </c>
      <c r="C515">
        <v>32</v>
      </c>
      <c r="E515" s="12"/>
      <c r="F515" s="11">
        <f>RITable[[#This Row],[Price (1y)]]/RITable[[#This Row],[Ratio]]</f>
        <v>0</v>
      </c>
      <c r="H515" s="12"/>
      <c r="I515" s="10">
        <f>RITable[[#This Row],[Price (3y)]]/RITable[[#This Row],[Ratio]] / 3</f>
        <v>0</v>
      </c>
    </row>
    <row r="516" spans="1:9" x14ac:dyDescent="0.3">
      <c r="A516" t="s">
        <v>438</v>
      </c>
      <c r="B516" t="s">
        <v>455</v>
      </c>
      <c r="C516">
        <v>32</v>
      </c>
      <c r="E516" s="12"/>
      <c r="F516" s="11">
        <f>RITable[[#This Row],[Price (1y)]]/RITable[[#This Row],[Ratio]]</f>
        <v>0</v>
      </c>
      <c r="H516" s="12"/>
      <c r="I516" s="10">
        <f>RITable[[#This Row],[Price (3y)]]/RITable[[#This Row],[Ratio]] / 3</f>
        <v>0</v>
      </c>
    </row>
    <row r="517" spans="1:9" x14ac:dyDescent="0.3">
      <c r="A517" t="s">
        <v>438</v>
      </c>
      <c r="B517" t="s">
        <v>459</v>
      </c>
      <c r="C517">
        <v>48</v>
      </c>
      <c r="E517" s="12"/>
      <c r="F517" s="11">
        <f>RITable[[#This Row],[Price (1y)]]/RITable[[#This Row],[Ratio]]</f>
        <v>0</v>
      </c>
      <c r="H517" s="12"/>
      <c r="I517" s="10">
        <f>RITable[[#This Row],[Price (3y)]]/RITable[[#This Row],[Ratio]] / 3</f>
        <v>0</v>
      </c>
    </row>
    <row r="518" spans="1:9" x14ac:dyDescent="0.3">
      <c r="A518" t="s">
        <v>438</v>
      </c>
      <c r="B518" t="s">
        <v>457</v>
      </c>
      <c r="C518">
        <v>48</v>
      </c>
      <c r="E518" s="12"/>
      <c r="F518" s="11">
        <f>RITable[[#This Row],[Price (1y)]]/RITable[[#This Row],[Ratio]]</f>
        <v>0</v>
      </c>
      <c r="H518" s="12"/>
      <c r="I518" s="10">
        <f>RITable[[#This Row],[Price (3y)]]/RITable[[#This Row],[Ratio]] / 3</f>
        <v>0</v>
      </c>
    </row>
    <row r="519" spans="1:9" x14ac:dyDescent="0.3">
      <c r="A519" t="s">
        <v>438</v>
      </c>
      <c r="B519" t="s">
        <v>458</v>
      </c>
      <c r="C519">
        <v>48</v>
      </c>
      <c r="E519" s="12"/>
      <c r="F519" s="11">
        <f>RITable[[#This Row],[Price (1y)]]/RITable[[#This Row],[Ratio]]</f>
        <v>0</v>
      </c>
      <c r="H519" s="12"/>
      <c r="I519" s="10">
        <f>RITable[[#This Row],[Price (3y)]]/RITable[[#This Row],[Ratio]] / 3</f>
        <v>0</v>
      </c>
    </row>
    <row r="520" spans="1:9" x14ac:dyDescent="0.3">
      <c r="A520" t="s">
        <v>438</v>
      </c>
      <c r="B520" t="s">
        <v>456</v>
      </c>
      <c r="C520">
        <v>48</v>
      </c>
      <c r="E520" s="12"/>
      <c r="F520" s="11">
        <f>RITable[[#This Row],[Price (1y)]]/RITable[[#This Row],[Ratio]]</f>
        <v>0</v>
      </c>
      <c r="H520" s="12"/>
      <c r="I520" s="10">
        <f>RITable[[#This Row],[Price (3y)]]/RITable[[#This Row],[Ratio]] / 3</f>
        <v>0</v>
      </c>
    </row>
    <row r="521" spans="1:9" x14ac:dyDescent="0.3">
      <c r="A521" t="s">
        <v>438</v>
      </c>
      <c r="B521" t="s">
        <v>460</v>
      </c>
      <c r="C521">
        <v>56</v>
      </c>
      <c r="E521" s="12"/>
      <c r="F521" s="11">
        <f>RITable[[#This Row],[Price (1y)]]/RITable[[#This Row],[Ratio]]</f>
        <v>0</v>
      </c>
      <c r="H521" s="12"/>
      <c r="I521" s="10">
        <f>RITable[[#This Row],[Price (3y)]]/RITable[[#This Row],[Ratio]] / 3</f>
        <v>0</v>
      </c>
    </row>
    <row r="522" spans="1:9" x14ac:dyDescent="0.3">
      <c r="A522" t="s">
        <v>1120</v>
      </c>
      <c r="B522" t="s">
        <v>1121</v>
      </c>
      <c r="C522">
        <v>1</v>
      </c>
      <c r="E522" s="12"/>
      <c r="F522" s="11">
        <f>RITable[[#This Row],[Price (1y)]]/RITable[[#This Row],[Ratio]]</f>
        <v>0</v>
      </c>
      <c r="H522" s="12"/>
      <c r="I522" s="10">
        <f>RITable[[#This Row],[Price (3y)]]/RITable[[#This Row],[Ratio]] / 3</f>
        <v>0</v>
      </c>
    </row>
    <row r="523" spans="1:9" x14ac:dyDescent="0.3">
      <c r="A523" t="s">
        <v>461</v>
      </c>
      <c r="B523" t="s">
        <v>462</v>
      </c>
      <c r="C523">
        <v>1</v>
      </c>
      <c r="E523" s="12"/>
      <c r="F523" s="11">
        <f>RITable[[#This Row],[Price (1y)]]/RITable[[#This Row],[Ratio]]</f>
        <v>0</v>
      </c>
      <c r="H523" s="12"/>
      <c r="I523" s="10">
        <f>RITable[[#This Row],[Price (3y)]]/RITable[[#This Row],[Ratio]] / 3</f>
        <v>0</v>
      </c>
    </row>
    <row r="524" spans="1:9" x14ac:dyDescent="0.3">
      <c r="A524" t="s">
        <v>461</v>
      </c>
      <c r="B524" t="s">
        <v>463</v>
      </c>
      <c r="C524">
        <v>2</v>
      </c>
      <c r="E524" s="12"/>
      <c r="F524" s="11">
        <f>RITable[[#This Row],[Price (1y)]]/RITable[[#This Row],[Ratio]]</f>
        <v>0</v>
      </c>
      <c r="H524" s="12"/>
      <c r="I524" s="10">
        <f>RITable[[#This Row],[Price (3y)]]/RITable[[#This Row],[Ratio]] / 3</f>
        <v>0</v>
      </c>
    </row>
    <row r="525" spans="1:9" x14ac:dyDescent="0.3">
      <c r="A525" t="s">
        <v>461</v>
      </c>
      <c r="B525" t="s">
        <v>464</v>
      </c>
      <c r="C525">
        <v>4</v>
      </c>
      <c r="E525" s="12"/>
      <c r="F525" s="11">
        <f>RITable[[#This Row],[Price (1y)]]/RITable[[#This Row],[Ratio]]</f>
        <v>0</v>
      </c>
      <c r="H525" s="12"/>
      <c r="I525" s="10">
        <f>RITable[[#This Row],[Price (3y)]]/RITable[[#This Row],[Ratio]] / 3</f>
        <v>0</v>
      </c>
    </row>
    <row r="526" spans="1:9" x14ac:dyDescent="0.3">
      <c r="A526" t="s">
        <v>461</v>
      </c>
      <c r="B526" t="s">
        <v>465</v>
      </c>
      <c r="C526">
        <v>8</v>
      </c>
      <c r="E526" s="12"/>
      <c r="F526" s="11">
        <f>RITable[[#This Row],[Price (1y)]]/RITable[[#This Row],[Ratio]]</f>
        <v>0</v>
      </c>
      <c r="H526" s="12"/>
      <c r="I526" s="10">
        <f>RITable[[#This Row],[Price (3y)]]/RITable[[#This Row],[Ratio]] / 3</f>
        <v>0</v>
      </c>
    </row>
    <row r="527" spans="1:9" x14ac:dyDescent="0.3">
      <c r="A527" t="s">
        <v>461</v>
      </c>
      <c r="B527" t="s">
        <v>466</v>
      </c>
      <c r="C527">
        <v>10</v>
      </c>
      <c r="E527" s="12"/>
      <c r="F527" s="11">
        <f>RITable[[#This Row],[Price (1y)]]/RITable[[#This Row],[Ratio]]</f>
        <v>0</v>
      </c>
      <c r="H527" s="12"/>
      <c r="I527" s="10">
        <f>RITable[[#This Row],[Price (3y)]]/RITable[[#This Row],[Ratio]] / 3</f>
        <v>0</v>
      </c>
    </row>
    <row r="528" spans="1:9" x14ac:dyDescent="0.3">
      <c r="A528" t="s">
        <v>461</v>
      </c>
      <c r="B528" t="s">
        <v>467</v>
      </c>
      <c r="C528">
        <v>16</v>
      </c>
      <c r="E528" s="12"/>
      <c r="F528" s="11">
        <f>RITable[[#This Row],[Price (1y)]]/RITable[[#This Row],[Ratio]]</f>
        <v>0</v>
      </c>
      <c r="H528" s="12"/>
      <c r="I528" s="10">
        <f>RITable[[#This Row],[Price (3y)]]/RITable[[#This Row],[Ratio]] / 3</f>
        <v>0</v>
      </c>
    </row>
    <row r="529" spans="1:9" x14ac:dyDescent="0.3">
      <c r="A529" t="s">
        <v>461</v>
      </c>
      <c r="B529" t="s">
        <v>468</v>
      </c>
      <c r="C529">
        <v>24</v>
      </c>
      <c r="E529" s="12"/>
      <c r="F529" s="11">
        <f>RITable[[#This Row],[Price (1y)]]/RITable[[#This Row],[Ratio]]</f>
        <v>0</v>
      </c>
      <c r="H529" s="12"/>
      <c r="I529" s="10">
        <f>RITable[[#This Row],[Price (3y)]]/RITable[[#This Row],[Ratio]] / 3</f>
        <v>0</v>
      </c>
    </row>
    <row r="530" spans="1:9" x14ac:dyDescent="0.3">
      <c r="A530" t="s">
        <v>461</v>
      </c>
      <c r="B530" t="s">
        <v>469</v>
      </c>
      <c r="C530">
        <v>32</v>
      </c>
      <c r="E530" s="12"/>
      <c r="F530" s="11">
        <f>RITable[[#This Row],[Price (1y)]]/RITable[[#This Row],[Ratio]]</f>
        <v>0</v>
      </c>
      <c r="H530" s="12"/>
      <c r="I530" s="10">
        <f>RITable[[#This Row],[Price (3y)]]/RITable[[#This Row],[Ratio]] / 3</f>
        <v>0</v>
      </c>
    </row>
    <row r="531" spans="1:9" x14ac:dyDescent="0.3">
      <c r="A531" t="s">
        <v>461</v>
      </c>
      <c r="B531" t="s">
        <v>470</v>
      </c>
      <c r="C531">
        <v>48</v>
      </c>
      <c r="E531" s="12"/>
      <c r="F531" s="11">
        <f>RITable[[#This Row],[Price (1y)]]/RITable[[#This Row],[Ratio]]</f>
        <v>0</v>
      </c>
      <c r="H531" s="12"/>
      <c r="I531" s="10">
        <f>RITable[[#This Row],[Price (3y)]]/RITable[[#This Row],[Ratio]] / 3</f>
        <v>0</v>
      </c>
    </row>
    <row r="532" spans="1:9" x14ac:dyDescent="0.3">
      <c r="A532" t="s">
        <v>471</v>
      </c>
      <c r="B532" t="s">
        <v>472</v>
      </c>
      <c r="C532">
        <v>1</v>
      </c>
      <c r="E532" s="12"/>
      <c r="F532" s="11">
        <f>RITable[[#This Row],[Price (1y)]]/RITable[[#This Row],[Ratio]]</f>
        <v>0</v>
      </c>
      <c r="H532" s="12"/>
      <c r="I532" s="10">
        <f>RITable[[#This Row],[Price (3y)]]/RITable[[#This Row],[Ratio]] / 3</f>
        <v>0</v>
      </c>
    </row>
    <row r="533" spans="1:9" x14ac:dyDescent="0.3">
      <c r="A533" t="s">
        <v>471</v>
      </c>
      <c r="B533" t="s">
        <v>473</v>
      </c>
      <c r="C533">
        <v>2</v>
      </c>
      <c r="E533" s="12"/>
      <c r="F533" s="11">
        <f>RITable[[#This Row],[Price (1y)]]/RITable[[#This Row],[Ratio]]</f>
        <v>0</v>
      </c>
      <c r="H533" s="12"/>
      <c r="I533" s="10">
        <f>RITable[[#This Row],[Price (3y)]]/RITable[[#This Row],[Ratio]] / 3</f>
        <v>0</v>
      </c>
    </row>
    <row r="534" spans="1:9" x14ac:dyDescent="0.3">
      <c r="A534" t="s">
        <v>471</v>
      </c>
      <c r="B534" t="s">
        <v>474</v>
      </c>
      <c r="C534">
        <v>4</v>
      </c>
      <c r="E534" s="12"/>
      <c r="F534" s="11">
        <f>RITable[[#This Row],[Price (1y)]]/RITable[[#This Row],[Ratio]]</f>
        <v>0</v>
      </c>
      <c r="H534" s="12"/>
      <c r="I534" s="10">
        <f>RITable[[#This Row],[Price (3y)]]/RITable[[#This Row],[Ratio]] / 3</f>
        <v>0</v>
      </c>
    </row>
    <row r="535" spans="1:9" x14ac:dyDescent="0.3">
      <c r="A535" t="s">
        <v>471</v>
      </c>
      <c r="B535" t="s">
        <v>475</v>
      </c>
      <c r="C535">
        <v>8</v>
      </c>
      <c r="E535" s="12"/>
      <c r="F535" s="11">
        <f>RITable[[#This Row],[Price (1y)]]/RITable[[#This Row],[Ratio]]</f>
        <v>0</v>
      </c>
      <c r="H535" s="12"/>
      <c r="I535" s="10">
        <f>RITable[[#This Row],[Price (3y)]]/RITable[[#This Row],[Ratio]] / 3</f>
        <v>0</v>
      </c>
    </row>
    <row r="536" spans="1:9" x14ac:dyDescent="0.3">
      <c r="A536" t="s">
        <v>471</v>
      </c>
      <c r="B536" t="s">
        <v>476</v>
      </c>
      <c r="C536">
        <v>16</v>
      </c>
      <c r="E536" s="12"/>
      <c r="F536" s="11">
        <f>RITable[[#This Row],[Price (1y)]]/RITable[[#This Row],[Ratio]]</f>
        <v>0</v>
      </c>
      <c r="H536" s="12"/>
      <c r="I536" s="10">
        <f>RITable[[#This Row],[Price (3y)]]/RITable[[#This Row],[Ratio]] / 3</f>
        <v>0</v>
      </c>
    </row>
    <row r="537" spans="1:9" x14ac:dyDescent="0.3">
      <c r="A537" t="s">
        <v>471</v>
      </c>
      <c r="B537" t="s">
        <v>477</v>
      </c>
      <c r="C537">
        <v>24</v>
      </c>
      <c r="E537" s="12"/>
      <c r="F537" s="11">
        <f>RITable[[#This Row],[Price (1y)]]/RITable[[#This Row],[Ratio]]</f>
        <v>0</v>
      </c>
      <c r="H537" s="12"/>
      <c r="I537" s="10">
        <f>RITable[[#This Row],[Price (3y)]]/RITable[[#This Row],[Ratio]] / 3</f>
        <v>0</v>
      </c>
    </row>
    <row r="538" spans="1:9" x14ac:dyDescent="0.3">
      <c r="A538" t="s">
        <v>471</v>
      </c>
      <c r="B538" t="s">
        <v>478</v>
      </c>
      <c r="C538">
        <v>32</v>
      </c>
      <c r="E538" s="12"/>
      <c r="F538" s="11">
        <f>RITable[[#This Row],[Price (1y)]]/RITable[[#This Row],[Ratio]]</f>
        <v>0</v>
      </c>
      <c r="H538" s="12"/>
      <c r="I538" s="10">
        <f>RITable[[#This Row],[Price (3y)]]/RITable[[#This Row],[Ratio]] / 3</f>
        <v>0</v>
      </c>
    </row>
    <row r="539" spans="1:9" x14ac:dyDescent="0.3">
      <c r="A539" t="s">
        <v>471</v>
      </c>
      <c r="B539" t="s">
        <v>479</v>
      </c>
      <c r="C539">
        <v>48</v>
      </c>
      <c r="E539" s="12"/>
      <c r="F539" s="11">
        <f>RITable[[#This Row],[Price (1y)]]/RITable[[#This Row],[Ratio]]</f>
        <v>0</v>
      </c>
      <c r="H539" s="12"/>
      <c r="I539" s="10">
        <f>RITable[[#This Row],[Price (3y)]]/RITable[[#This Row],[Ratio]] / 3</f>
        <v>0</v>
      </c>
    </row>
    <row r="540" spans="1:9" x14ac:dyDescent="0.3">
      <c r="A540" t="s">
        <v>471</v>
      </c>
      <c r="B540" t="s">
        <v>1122</v>
      </c>
      <c r="C540">
        <v>56</v>
      </c>
      <c r="E540" s="12"/>
      <c r="F540" s="11">
        <f>RITable[[#This Row],[Price (1y)]]/RITable[[#This Row],[Ratio]]</f>
        <v>0</v>
      </c>
      <c r="H540" s="12"/>
      <c r="I540" s="10">
        <f>RITable[[#This Row],[Price (3y)]]/RITable[[#This Row],[Ratio]] / 3</f>
        <v>0</v>
      </c>
    </row>
    <row r="541" spans="1:9" x14ac:dyDescent="0.3">
      <c r="A541" t="s">
        <v>1123</v>
      </c>
      <c r="B541" t="s">
        <v>1124</v>
      </c>
      <c r="C541">
        <v>1</v>
      </c>
      <c r="E541" s="12"/>
      <c r="F541" s="11">
        <f>RITable[[#This Row],[Price (1y)]]/RITable[[#This Row],[Ratio]]</f>
        <v>0</v>
      </c>
      <c r="H541" s="12"/>
      <c r="I541" s="10">
        <f>RITable[[#This Row],[Price (3y)]]/RITable[[#This Row],[Ratio]] / 3</f>
        <v>0</v>
      </c>
    </row>
    <row r="542" spans="1:9" x14ac:dyDescent="0.3">
      <c r="A542" t="s">
        <v>480</v>
      </c>
      <c r="B542" t="s">
        <v>481</v>
      </c>
      <c r="C542">
        <v>1</v>
      </c>
      <c r="E542" s="12"/>
      <c r="F542" s="11">
        <f>RITable[[#This Row],[Price (1y)]]/RITable[[#This Row],[Ratio]]</f>
        <v>0</v>
      </c>
      <c r="H542" s="12"/>
      <c r="I542" s="10">
        <f>RITable[[#This Row],[Price (3y)]]/RITable[[#This Row],[Ratio]] / 3</f>
        <v>0</v>
      </c>
    </row>
    <row r="543" spans="1:9" x14ac:dyDescent="0.3">
      <c r="A543" t="s">
        <v>480</v>
      </c>
      <c r="B543" t="s">
        <v>482</v>
      </c>
      <c r="C543">
        <v>2</v>
      </c>
      <c r="E543" s="12"/>
      <c r="F543" s="11">
        <f>RITable[[#This Row],[Price (1y)]]/RITable[[#This Row],[Ratio]]</f>
        <v>0</v>
      </c>
      <c r="H543" s="12"/>
      <c r="I543" s="10">
        <f>RITable[[#This Row],[Price (3y)]]/RITable[[#This Row],[Ratio]] / 3</f>
        <v>0</v>
      </c>
    </row>
    <row r="544" spans="1:9" x14ac:dyDescent="0.3">
      <c r="A544" t="s">
        <v>480</v>
      </c>
      <c r="B544" t="s">
        <v>483</v>
      </c>
      <c r="C544">
        <v>4</v>
      </c>
      <c r="E544" s="12"/>
      <c r="F544" s="11">
        <f>RITable[[#This Row],[Price (1y)]]/RITable[[#This Row],[Ratio]]</f>
        <v>0</v>
      </c>
      <c r="H544" s="12"/>
      <c r="I544" s="10">
        <f>RITable[[#This Row],[Price (3y)]]/RITable[[#This Row],[Ratio]] / 3</f>
        <v>0</v>
      </c>
    </row>
    <row r="545" spans="1:9" x14ac:dyDescent="0.3">
      <c r="A545" t="s">
        <v>480</v>
      </c>
      <c r="B545" t="s">
        <v>484</v>
      </c>
      <c r="C545">
        <v>8</v>
      </c>
      <c r="E545" s="12"/>
      <c r="F545" s="11">
        <f>RITable[[#This Row],[Price (1y)]]/RITable[[#This Row],[Ratio]]</f>
        <v>0</v>
      </c>
      <c r="H545" s="12"/>
      <c r="I545" s="10">
        <f>RITable[[#This Row],[Price (3y)]]/RITable[[#This Row],[Ratio]] / 3</f>
        <v>0</v>
      </c>
    </row>
    <row r="546" spans="1:9" x14ac:dyDescent="0.3">
      <c r="A546" t="s">
        <v>480</v>
      </c>
      <c r="B546" t="s">
        <v>485</v>
      </c>
      <c r="C546">
        <v>16</v>
      </c>
      <c r="E546" s="12"/>
      <c r="F546" s="11">
        <f>RITable[[#This Row],[Price (1y)]]/RITable[[#This Row],[Ratio]]</f>
        <v>0</v>
      </c>
      <c r="H546" s="12"/>
      <c r="I546" s="10">
        <f>RITable[[#This Row],[Price (3y)]]/RITable[[#This Row],[Ratio]] / 3</f>
        <v>0</v>
      </c>
    </row>
    <row r="547" spans="1:9" x14ac:dyDescent="0.3">
      <c r="A547" t="s">
        <v>480</v>
      </c>
      <c r="B547" t="s">
        <v>486</v>
      </c>
      <c r="C547">
        <v>24</v>
      </c>
      <c r="E547" s="12"/>
      <c r="F547" s="11">
        <f>RITable[[#This Row],[Price (1y)]]/RITable[[#This Row],[Ratio]]</f>
        <v>0</v>
      </c>
      <c r="H547" s="12"/>
      <c r="I547" s="10">
        <f>RITable[[#This Row],[Price (3y)]]/RITable[[#This Row],[Ratio]] / 3</f>
        <v>0</v>
      </c>
    </row>
    <row r="548" spans="1:9" x14ac:dyDescent="0.3">
      <c r="A548" t="s">
        <v>480</v>
      </c>
      <c r="B548" t="s">
        <v>487</v>
      </c>
      <c r="C548">
        <v>32</v>
      </c>
      <c r="E548" s="12"/>
      <c r="F548" s="11">
        <f>RITable[[#This Row],[Price (1y)]]/RITable[[#This Row],[Ratio]]</f>
        <v>0</v>
      </c>
      <c r="H548" s="12"/>
      <c r="I548" s="10">
        <f>RITable[[#This Row],[Price (3y)]]/RITable[[#This Row],[Ratio]] / 3</f>
        <v>0</v>
      </c>
    </row>
    <row r="549" spans="1:9" x14ac:dyDescent="0.3">
      <c r="A549" t="s">
        <v>480</v>
      </c>
      <c r="B549" t="s">
        <v>488</v>
      </c>
      <c r="C549">
        <v>48</v>
      </c>
      <c r="E549" s="12"/>
      <c r="F549" s="11">
        <f>RITable[[#This Row],[Price (1y)]]/RITable[[#This Row],[Ratio]]</f>
        <v>0</v>
      </c>
      <c r="H549" s="12"/>
      <c r="I549" s="10">
        <f>RITable[[#This Row],[Price (3y)]]/RITable[[#This Row],[Ratio]] / 3</f>
        <v>0</v>
      </c>
    </row>
    <row r="550" spans="1:9" x14ac:dyDescent="0.3">
      <c r="A550" t="s">
        <v>480</v>
      </c>
      <c r="B550" t="s">
        <v>1125</v>
      </c>
      <c r="C550">
        <v>56</v>
      </c>
      <c r="E550" s="12"/>
      <c r="F550" s="11">
        <f>RITable[[#This Row],[Price (1y)]]/RITable[[#This Row],[Ratio]]</f>
        <v>0</v>
      </c>
      <c r="H550" s="12"/>
      <c r="I550" s="10">
        <f>RITable[[#This Row],[Price (3y)]]/RITable[[#This Row],[Ratio]] / 3</f>
        <v>0</v>
      </c>
    </row>
    <row r="551" spans="1:9" x14ac:dyDescent="0.3">
      <c r="A551" t="s">
        <v>1126</v>
      </c>
      <c r="B551" t="s">
        <v>1127</v>
      </c>
      <c r="C551">
        <v>1</v>
      </c>
      <c r="E551" s="12"/>
      <c r="F551" s="11">
        <f>RITable[[#This Row],[Price (1y)]]/RITable[[#This Row],[Ratio]]</f>
        <v>0</v>
      </c>
      <c r="H551" s="12"/>
      <c r="I551" s="10">
        <f>RITable[[#This Row],[Price (3y)]]/RITable[[#This Row],[Ratio]] / 3</f>
        <v>0</v>
      </c>
    </row>
    <row r="552" spans="1:9" x14ac:dyDescent="0.3">
      <c r="A552" t="s">
        <v>43</v>
      </c>
      <c r="B552" t="s">
        <v>489</v>
      </c>
      <c r="C552">
        <v>1</v>
      </c>
      <c r="E552" s="12"/>
      <c r="F552" s="11">
        <f>RITable[[#This Row],[Price (1y)]]/RITable[[#This Row],[Ratio]]</f>
        <v>0</v>
      </c>
      <c r="H552" s="12"/>
      <c r="I552" s="10">
        <f>RITable[[#This Row],[Price (3y)]]/RITable[[#This Row],[Ratio]] / 3</f>
        <v>0</v>
      </c>
    </row>
    <row r="553" spans="1:9" x14ac:dyDescent="0.3">
      <c r="A553" t="s">
        <v>43</v>
      </c>
      <c r="B553" t="s">
        <v>490</v>
      </c>
      <c r="C553">
        <v>2</v>
      </c>
      <c r="E553" s="12"/>
      <c r="F553" s="11">
        <f>RITable[[#This Row],[Price (1y)]]/RITable[[#This Row],[Ratio]]</f>
        <v>0</v>
      </c>
      <c r="H553" s="12"/>
      <c r="I553" s="10">
        <f>RITable[[#This Row],[Price (3y)]]/RITable[[#This Row],[Ratio]] / 3</f>
        <v>0</v>
      </c>
    </row>
    <row r="554" spans="1:9" x14ac:dyDescent="0.3">
      <c r="A554" t="s">
        <v>43</v>
      </c>
      <c r="B554" t="s">
        <v>492</v>
      </c>
      <c r="C554">
        <v>2</v>
      </c>
      <c r="E554" s="12"/>
      <c r="F554" s="11">
        <f>RITable[[#This Row],[Price (1y)]]/RITable[[#This Row],[Ratio]]</f>
        <v>0</v>
      </c>
      <c r="H554" s="12"/>
      <c r="I554" s="10">
        <f>RITable[[#This Row],[Price (3y)]]/RITable[[#This Row],[Ratio]] / 3</f>
        <v>0</v>
      </c>
    </row>
    <row r="555" spans="1:9" x14ac:dyDescent="0.3">
      <c r="A555" t="s">
        <v>43</v>
      </c>
      <c r="B555" t="s">
        <v>491</v>
      </c>
      <c r="C555">
        <v>2</v>
      </c>
      <c r="E555" s="12"/>
      <c r="F555" s="11">
        <f>RITable[[#This Row],[Price (1y)]]/RITable[[#This Row],[Ratio]]</f>
        <v>0</v>
      </c>
      <c r="H555" s="12"/>
      <c r="I555" s="10">
        <f>RITable[[#This Row],[Price (3y)]]/RITable[[#This Row],[Ratio]] / 3</f>
        <v>0</v>
      </c>
    </row>
    <row r="556" spans="1:9" x14ac:dyDescent="0.3">
      <c r="A556" t="s">
        <v>43</v>
      </c>
      <c r="B556" t="s">
        <v>494</v>
      </c>
      <c r="C556">
        <v>4</v>
      </c>
      <c r="E556" s="12"/>
      <c r="F556" s="11">
        <f>RITable[[#This Row],[Price (1y)]]/RITable[[#This Row],[Ratio]]</f>
        <v>0</v>
      </c>
      <c r="H556" s="12"/>
      <c r="I556" s="10">
        <f>RITable[[#This Row],[Price (3y)]]/RITable[[#This Row],[Ratio]] / 3</f>
        <v>0</v>
      </c>
    </row>
    <row r="557" spans="1:9" x14ac:dyDescent="0.3">
      <c r="A557" t="s">
        <v>43</v>
      </c>
      <c r="B557" t="s">
        <v>495</v>
      </c>
      <c r="C557">
        <v>4</v>
      </c>
      <c r="E557" s="12"/>
      <c r="F557" s="11">
        <f>RITable[[#This Row],[Price (1y)]]/RITable[[#This Row],[Ratio]]</f>
        <v>0</v>
      </c>
      <c r="H557" s="12"/>
      <c r="I557" s="10">
        <f>RITable[[#This Row],[Price (3y)]]/RITable[[#This Row],[Ratio]] / 3</f>
        <v>0</v>
      </c>
    </row>
    <row r="558" spans="1:9" x14ac:dyDescent="0.3">
      <c r="A558" t="s">
        <v>43</v>
      </c>
      <c r="B558" t="s">
        <v>496</v>
      </c>
      <c r="C558">
        <v>4</v>
      </c>
      <c r="E558" s="12"/>
      <c r="F558" s="11">
        <f>RITable[[#This Row],[Price (1y)]]/RITable[[#This Row],[Ratio]]</f>
        <v>0</v>
      </c>
      <c r="H558" s="12"/>
      <c r="I558" s="10">
        <f>RITable[[#This Row],[Price (3y)]]/RITable[[#This Row],[Ratio]] / 3</f>
        <v>0</v>
      </c>
    </row>
    <row r="559" spans="1:9" x14ac:dyDescent="0.3">
      <c r="A559" t="s">
        <v>43</v>
      </c>
      <c r="B559" t="s">
        <v>493</v>
      </c>
      <c r="C559">
        <v>4</v>
      </c>
      <c r="E559" s="12"/>
      <c r="F559" s="11">
        <f>RITable[[#This Row],[Price (1y)]]/RITable[[#This Row],[Ratio]]</f>
        <v>0</v>
      </c>
      <c r="H559" s="12"/>
      <c r="I559" s="10">
        <f>RITable[[#This Row],[Price (3y)]]/RITable[[#This Row],[Ratio]] / 3</f>
        <v>0</v>
      </c>
    </row>
    <row r="560" spans="1:9" x14ac:dyDescent="0.3">
      <c r="A560" t="s">
        <v>43</v>
      </c>
      <c r="B560" t="s">
        <v>497</v>
      </c>
      <c r="C560">
        <v>8</v>
      </c>
      <c r="E560" s="12"/>
      <c r="F560" s="11">
        <f>RITable[[#This Row],[Price (1y)]]/RITable[[#This Row],[Ratio]]</f>
        <v>0</v>
      </c>
      <c r="H560" s="12"/>
      <c r="I560" s="10">
        <f>RITable[[#This Row],[Price (3y)]]/RITable[[#This Row],[Ratio]] / 3</f>
        <v>0</v>
      </c>
    </row>
    <row r="561" spans="1:9" x14ac:dyDescent="0.3">
      <c r="A561" t="s">
        <v>43</v>
      </c>
      <c r="B561" t="s">
        <v>499</v>
      </c>
      <c r="C561">
        <v>8</v>
      </c>
      <c r="E561" s="12"/>
      <c r="F561" s="11">
        <f>RITable[[#This Row],[Price (1y)]]/RITable[[#This Row],[Ratio]]</f>
        <v>0</v>
      </c>
      <c r="H561" s="12"/>
      <c r="I561" s="10">
        <f>RITable[[#This Row],[Price (3y)]]/RITable[[#This Row],[Ratio]] / 3</f>
        <v>0</v>
      </c>
    </row>
    <row r="562" spans="1:9" x14ac:dyDescent="0.3">
      <c r="A562" t="s">
        <v>43</v>
      </c>
      <c r="B562" t="s">
        <v>498</v>
      </c>
      <c r="C562">
        <v>8</v>
      </c>
      <c r="E562" s="12"/>
      <c r="F562" s="11">
        <f>RITable[[#This Row],[Price (1y)]]/RITable[[#This Row],[Ratio]]</f>
        <v>0</v>
      </c>
      <c r="H562" s="12"/>
      <c r="I562" s="10">
        <f>RITable[[#This Row],[Price (3y)]]/RITable[[#This Row],[Ratio]] / 3</f>
        <v>0</v>
      </c>
    </row>
    <row r="563" spans="1:9" x14ac:dyDescent="0.3">
      <c r="A563" t="s">
        <v>43</v>
      </c>
      <c r="B563" t="s">
        <v>500</v>
      </c>
      <c r="C563">
        <v>8</v>
      </c>
      <c r="E563" s="12"/>
      <c r="F563" s="11">
        <f>RITable[[#This Row],[Price (1y)]]/RITable[[#This Row],[Ratio]]</f>
        <v>0</v>
      </c>
      <c r="H563" s="12"/>
      <c r="I563" s="10">
        <f>RITable[[#This Row],[Price (3y)]]/RITable[[#This Row],[Ratio]] / 3</f>
        <v>0</v>
      </c>
    </row>
    <row r="564" spans="1:9" x14ac:dyDescent="0.3">
      <c r="A564" t="s">
        <v>43</v>
      </c>
      <c r="B564" t="s">
        <v>501</v>
      </c>
      <c r="C564">
        <v>10</v>
      </c>
      <c r="E564" s="12"/>
      <c r="F564" s="11">
        <f>RITable[[#This Row],[Price (1y)]]/RITable[[#This Row],[Ratio]]</f>
        <v>0</v>
      </c>
      <c r="H564" s="12"/>
      <c r="I564" s="10">
        <f>RITable[[#This Row],[Price (3y)]]/RITable[[#This Row],[Ratio]] / 3</f>
        <v>0</v>
      </c>
    </row>
    <row r="565" spans="1:9" x14ac:dyDescent="0.3">
      <c r="A565" t="s">
        <v>43</v>
      </c>
      <c r="B565" t="s">
        <v>503</v>
      </c>
      <c r="C565">
        <v>16</v>
      </c>
      <c r="E565" s="12"/>
      <c r="F565" s="11">
        <f>RITable[[#This Row],[Price (1y)]]/RITable[[#This Row],[Ratio]]</f>
        <v>0</v>
      </c>
      <c r="H565" s="12"/>
      <c r="I565" s="10">
        <f>RITable[[#This Row],[Price (3y)]]/RITable[[#This Row],[Ratio]] / 3</f>
        <v>0</v>
      </c>
    </row>
    <row r="566" spans="1:9" x14ac:dyDescent="0.3">
      <c r="A566" t="s">
        <v>43</v>
      </c>
      <c r="B566" t="s">
        <v>502</v>
      </c>
      <c r="C566">
        <v>16</v>
      </c>
      <c r="E566" s="12"/>
      <c r="F566" s="11">
        <f>RITable[[#This Row],[Price (1y)]]/RITable[[#This Row],[Ratio]]</f>
        <v>0</v>
      </c>
      <c r="H566" s="12"/>
      <c r="I566" s="10">
        <f>RITable[[#This Row],[Price (3y)]]/RITable[[#This Row],[Ratio]] / 3</f>
        <v>0</v>
      </c>
    </row>
    <row r="567" spans="1:9" x14ac:dyDescent="0.3">
      <c r="A567" t="s">
        <v>43</v>
      </c>
      <c r="B567" t="s">
        <v>505</v>
      </c>
      <c r="C567">
        <v>16</v>
      </c>
      <c r="E567" s="12"/>
      <c r="F567" s="11">
        <f>RITable[[#This Row],[Price (1y)]]/RITable[[#This Row],[Ratio]]</f>
        <v>0</v>
      </c>
      <c r="H567" s="12"/>
      <c r="I567" s="10">
        <f>RITable[[#This Row],[Price (3y)]]/RITable[[#This Row],[Ratio]] / 3</f>
        <v>0</v>
      </c>
    </row>
    <row r="568" spans="1:9" x14ac:dyDescent="0.3">
      <c r="A568" t="s">
        <v>43</v>
      </c>
      <c r="B568" t="s">
        <v>504</v>
      </c>
      <c r="C568">
        <v>16</v>
      </c>
      <c r="E568" s="12"/>
      <c r="F568" s="11">
        <f>RITable[[#This Row],[Price (1y)]]/RITable[[#This Row],[Ratio]]</f>
        <v>0</v>
      </c>
      <c r="H568" s="12"/>
      <c r="I568" s="10">
        <f>RITable[[#This Row],[Price (3y)]]/RITable[[#This Row],[Ratio]] / 3</f>
        <v>0</v>
      </c>
    </row>
    <row r="569" spans="1:9" x14ac:dyDescent="0.3">
      <c r="A569" t="s">
        <v>43</v>
      </c>
      <c r="B569" t="s">
        <v>506</v>
      </c>
      <c r="C569">
        <v>24</v>
      </c>
      <c r="E569" s="12"/>
      <c r="F569" s="11">
        <f>RITable[[#This Row],[Price (1y)]]/RITable[[#This Row],[Ratio]]</f>
        <v>0</v>
      </c>
      <c r="H569" s="12"/>
      <c r="I569" s="10">
        <f>RITable[[#This Row],[Price (3y)]]/RITable[[#This Row],[Ratio]] / 3</f>
        <v>0</v>
      </c>
    </row>
    <row r="570" spans="1:9" x14ac:dyDescent="0.3">
      <c r="A570" t="s">
        <v>43</v>
      </c>
      <c r="B570" t="s">
        <v>508</v>
      </c>
      <c r="C570">
        <v>32</v>
      </c>
      <c r="E570" s="12"/>
      <c r="F570" s="11">
        <f>RITable[[#This Row],[Price (1y)]]/RITable[[#This Row],[Ratio]]</f>
        <v>0</v>
      </c>
      <c r="H570" s="12"/>
      <c r="I570" s="10">
        <f>RITable[[#This Row],[Price (3y)]]/RITable[[#This Row],[Ratio]] / 3</f>
        <v>0</v>
      </c>
    </row>
    <row r="571" spans="1:9" x14ac:dyDescent="0.3">
      <c r="A571" t="s">
        <v>43</v>
      </c>
      <c r="B571" t="s">
        <v>507</v>
      </c>
      <c r="C571">
        <v>32</v>
      </c>
      <c r="E571" s="12"/>
      <c r="F571" s="11">
        <f>RITable[[#This Row],[Price (1y)]]/RITable[[#This Row],[Ratio]]</f>
        <v>0</v>
      </c>
      <c r="H571" s="12"/>
      <c r="I571" s="10">
        <f>RITable[[#This Row],[Price (3y)]]/RITable[[#This Row],[Ratio]] / 3</f>
        <v>0</v>
      </c>
    </row>
    <row r="572" spans="1:9" x14ac:dyDescent="0.3">
      <c r="A572" t="s">
        <v>43</v>
      </c>
      <c r="B572" t="s">
        <v>509</v>
      </c>
      <c r="C572">
        <v>32</v>
      </c>
      <c r="E572" s="12"/>
      <c r="F572" s="11">
        <f>RITable[[#This Row],[Price (1y)]]/RITable[[#This Row],[Ratio]]</f>
        <v>0</v>
      </c>
      <c r="H572" s="12"/>
      <c r="I572" s="10">
        <f>RITable[[#This Row],[Price (3y)]]/RITable[[#This Row],[Ratio]] / 3</f>
        <v>0</v>
      </c>
    </row>
    <row r="573" spans="1:9" x14ac:dyDescent="0.3">
      <c r="A573" t="s">
        <v>510</v>
      </c>
      <c r="B573" t="s">
        <v>511</v>
      </c>
      <c r="C573">
        <v>1</v>
      </c>
      <c r="E573" s="12"/>
      <c r="F573" s="11">
        <f>RITable[[#This Row],[Price (1y)]]/RITable[[#This Row],[Ratio]]</f>
        <v>0</v>
      </c>
      <c r="H573" s="12"/>
      <c r="I573" s="10">
        <f>RITable[[#This Row],[Price (3y)]]/RITable[[#This Row],[Ratio]] / 3</f>
        <v>0</v>
      </c>
    </row>
    <row r="574" spans="1:9" x14ac:dyDescent="0.3">
      <c r="A574" t="s">
        <v>510</v>
      </c>
      <c r="B574" t="s">
        <v>512</v>
      </c>
      <c r="C574">
        <v>1.1875</v>
      </c>
      <c r="E574" s="12"/>
      <c r="F574" s="11">
        <f>RITable[[#This Row],[Price (1y)]]/RITable[[#This Row],[Ratio]]</f>
        <v>0</v>
      </c>
      <c r="H574" s="12"/>
      <c r="I574" s="10">
        <f>RITable[[#This Row],[Price (3y)]]/RITable[[#This Row],[Ratio]] / 3</f>
        <v>0</v>
      </c>
    </row>
    <row r="575" spans="1:9" x14ac:dyDescent="0.3">
      <c r="A575" t="s">
        <v>513</v>
      </c>
      <c r="B575" t="s">
        <v>514</v>
      </c>
      <c r="C575">
        <v>1</v>
      </c>
      <c r="E575" s="12"/>
      <c r="F575" s="11">
        <f>RITable[[#This Row],[Price (1y)]]/RITable[[#This Row],[Ratio]]</f>
        <v>0</v>
      </c>
      <c r="H575" s="12"/>
      <c r="I575" s="10">
        <f>RITable[[#This Row],[Price (3y)]]/RITable[[#This Row],[Ratio]] / 3</f>
        <v>0</v>
      </c>
    </row>
    <row r="576" spans="1:9" x14ac:dyDescent="0.3">
      <c r="A576" t="s">
        <v>513</v>
      </c>
      <c r="B576" t="s">
        <v>516</v>
      </c>
      <c r="C576">
        <v>2</v>
      </c>
      <c r="E576" s="12"/>
      <c r="F576" s="11">
        <f>RITable[[#This Row],[Price (1y)]]/RITable[[#This Row],[Ratio]]</f>
        <v>0</v>
      </c>
      <c r="H576" s="12"/>
      <c r="I576" s="10">
        <f>RITable[[#This Row],[Price (3y)]]/RITable[[#This Row],[Ratio]] / 3</f>
        <v>0</v>
      </c>
    </row>
    <row r="577" spans="1:9" x14ac:dyDescent="0.3">
      <c r="A577" t="s">
        <v>513</v>
      </c>
      <c r="B577" t="s">
        <v>515</v>
      </c>
      <c r="C577">
        <v>2</v>
      </c>
      <c r="E577" s="12"/>
      <c r="F577" s="11">
        <f>RITable[[#This Row],[Price (1y)]]/RITable[[#This Row],[Ratio]]</f>
        <v>0</v>
      </c>
      <c r="H577" s="12"/>
      <c r="I577" s="10">
        <f>RITable[[#This Row],[Price (3y)]]/RITable[[#This Row],[Ratio]] / 3</f>
        <v>0</v>
      </c>
    </row>
    <row r="578" spans="1:9" x14ac:dyDescent="0.3">
      <c r="A578" t="s">
        <v>513</v>
      </c>
      <c r="B578" t="s">
        <v>519</v>
      </c>
      <c r="C578">
        <v>4</v>
      </c>
      <c r="E578" s="12"/>
      <c r="F578" s="11">
        <f>RITable[[#This Row],[Price (1y)]]/RITable[[#This Row],[Ratio]]</f>
        <v>0</v>
      </c>
      <c r="H578" s="12"/>
      <c r="I578" s="10">
        <f>RITable[[#This Row],[Price (3y)]]/RITable[[#This Row],[Ratio]] / 3</f>
        <v>0</v>
      </c>
    </row>
    <row r="579" spans="1:9" x14ac:dyDescent="0.3">
      <c r="A579" t="s">
        <v>513</v>
      </c>
      <c r="B579" t="s">
        <v>518</v>
      </c>
      <c r="C579">
        <v>4</v>
      </c>
      <c r="E579" s="12"/>
      <c r="F579" s="11">
        <f>RITable[[#This Row],[Price (1y)]]/RITable[[#This Row],[Ratio]]</f>
        <v>0</v>
      </c>
      <c r="H579" s="12"/>
      <c r="I579" s="10">
        <f>RITable[[#This Row],[Price (3y)]]/RITable[[#This Row],[Ratio]] / 3</f>
        <v>0</v>
      </c>
    </row>
    <row r="580" spans="1:9" x14ac:dyDescent="0.3">
      <c r="A580" t="s">
        <v>513</v>
      </c>
      <c r="B580" t="s">
        <v>517</v>
      </c>
      <c r="C580">
        <v>4</v>
      </c>
      <c r="E580" s="12"/>
      <c r="F580" s="11">
        <f>RITable[[#This Row],[Price (1y)]]/RITable[[#This Row],[Ratio]]</f>
        <v>0</v>
      </c>
      <c r="H580" s="12"/>
      <c r="I580" s="10">
        <f>RITable[[#This Row],[Price (3y)]]/RITable[[#This Row],[Ratio]] / 3</f>
        <v>0</v>
      </c>
    </row>
    <row r="581" spans="1:9" x14ac:dyDescent="0.3">
      <c r="A581" t="s">
        <v>513</v>
      </c>
      <c r="B581" t="s">
        <v>520</v>
      </c>
      <c r="C581">
        <v>8</v>
      </c>
      <c r="E581" s="12"/>
      <c r="F581" s="11">
        <f>RITable[[#This Row],[Price (1y)]]/RITable[[#This Row],[Ratio]]</f>
        <v>0</v>
      </c>
      <c r="H581" s="12"/>
      <c r="I581" s="10">
        <f>RITable[[#This Row],[Price (3y)]]/RITable[[#This Row],[Ratio]] / 3</f>
        <v>0</v>
      </c>
    </row>
    <row r="582" spans="1:9" x14ac:dyDescent="0.3">
      <c r="A582" t="s">
        <v>513</v>
      </c>
      <c r="B582" t="s">
        <v>522</v>
      </c>
      <c r="C582">
        <v>8</v>
      </c>
      <c r="E582" s="12"/>
      <c r="F582" s="11">
        <f>RITable[[#This Row],[Price (1y)]]/RITable[[#This Row],[Ratio]]</f>
        <v>0</v>
      </c>
      <c r="H582" s="12"/>
      <c r="I582" s="10">
        <f>RITable[[#This Row],[Price (3y)]]/RITable[[#This Row],[Ratio]] / 3</f>
        <v>0</v>
      </c>
    </row>
    <row r="583" spans="1:9" x14ac:dyDescent="0.3">
      <c r="A583" t="s">
        <v>513</v>
      </c>
      <c r="B583" t="s">
        <v>521</v>
      </c>
      <c r="C583">
        <v>8</v>
      </c>
      <c r="E583" s="12"/>
      <c r="F583" s="11">
        <f>RITable[[#This Row],[Price (1y)]]/RITable[[#This Row],[Ratio]]</f>
        <v>0</v>
      </c>
      <c r="H583" s="12"/>
      <c r="I583" s="10">
        <f>RITable[[#This Row],[Price (3y)]]/RITable[[#This Row],[Ratio]] / 3</f>
        <v>0</v>
      </c>
    </row>
    <row r="584" spans="1:9" x14ac:dyDescent="0.3">
      <c r="A584" t="s">
        <v>513</v>
      </c>
      <c r="B584" t="s">
        <v>523</v>
      </c>
      <c r="C584">
        <v>10</v>
      </c>
      <c r="E584" s="12"/>
      <c r="F584" s="11">
        <f>RITable[[#This Row],[Price (1y)]]/RITable[[#This Row],[Ratio]]</f>
        <v>0</v>
      </c>
      <c r="H584" s="12"/>
      <c r="I584" s="10">
        <f>RITable[[#This Row],[Price (3y)]]/RITable[[#This Row],[Ratio]] / 3</f>
        <v>0</v>
      </c>
    </row>
    <row r="585" spans="1:9" x14ac:dyDescent="0.3">
      <c r="A585" t="s">
        <v>513</v>
      </c>
      <c r="B585" t="s">
        <v>526</v>
      </c>
      <c r="C585">
        <v>16</v>
      </c>
      <c r="E585" s="12"/>
      <c r="F585" s="11">
        <f>RITable[[#This Row],[Price (1y)]]/RITable[[#This Row],[Ratio]]</f>
        <v>0</v>
      </c>
      <c r="H585" s="12"/>
      <c r="I585" s="10">
        <f>RITable[[#This Row],[Price (3y)]]/RITable[[#This Row],[Ratio]] / 3</f>
        <v>0</v>
      </c>
    </row>
    <row r="586" spans="1:9" x14ac:dyDescent="0.3">
      <c r="A586" t="s">
        <v>513</v>
      </c>
      <c r="B586" t="s">
        <v>525</v>
      </c>
      <c r="C586">
        <v>16</v>
      </c>
      <c r="E586" s="12"/>
      <c r="F586" s="11">
        <f>RITable[[#This Row],[Price (1y)]]/RITable[[#This Row],[Ratio]]</f>
        <v>0</v>
      </c>
      <c r="H586" s="12"/>
      <c r="I586" s="10">
        <f>RITable[[#This Row],[Price (3y)]]/RITable[[#This Row],[Ratio]] / 3</f>
        <v>0</v>
      </c>
    </row>
    <row r="587" spans="1:9" x14ac:dyDescent="0.3">
      <c r="A587" t="s">
        <v>513</v>
      </c>
      <c r="B587" t="s">
        <v>524</v>
      </c>
      <c r="C587">
        <v>16</v>
      </c>
      <c r="E587" s="12"/>
      <c r="F587" s="11">
        <f>RITable[[#This Row],[Price (1y)]]/RITable[[#This Row],[Ratio]]</f>
        <v>0</v>
      </c>
      <c r="H587" s="12"/>
      <c r="I587" s="10">
        <f>RITable[[#This Row],[Price (3y)]]/RITable[[#This Row],[Ratio]] / 3</f>
        <v>0</v>
      </c>
    </row>
    <row r="588" spans="1:9" x14ac:dyDescent="0.3">
      <c r="A588" t="s">
        <v>513</v>
      </c>
      <c r="B588" t="s">
        <v>527</v>
      </c>
      <c r="C588">
        <v>24</v>
      </c>
      <c r="E588" s="12"/>
      <c r="F588" s="11">
        <f>RITable[[#This Row],[Price (1y)]]/RITable[[#This Row],[Ratio]]</f>
        <v>0</v>
      </c>
      <c r="H588" s="12"/>
      <c r="I588" s="10">
        <f>RITable[[#This Row],[Price (3y)]]/RITable[[#This Row],[Ratio]] / 3</f>
        <v>0</v>
      </c>
    </row>
    <row r="589" spans="1:9" x14ac:dyDescent="0.3">
      <c r="A589" t="s">
        <v>513</v>
      </c>
      <c r="B589" t="s">
        <v>528</v>
      </c>
      <c r="C589">
        <v>32</v>
      </c>
      <c r="E589" s="12"/>
      <c r="F589" s="11">
        <f>RITable[[#This Row],[Price (1y)]]/RITable[[#This Row],[Ratio]]</f>
        <v>0</v>
      </c>
      <c r="H589" s="12"/>
      <c r="I589" s="10">
        <f>RITable[[#This Row],[Price (3y)]]/RITable[[#This Row],[Ratio]] / 3</f>
        <v>0</v>
      </c>
    </row>
    <row r="590" spans="1:9" x14ac:dyDescent="0.3">
      <c r="A590" t="s">
        <v>513</v>
      </c>
      <c r="B590" t="s">
        <v>530</v>
      </c>
      <c r="C590">
        <v>32</v>
      </c>
      <c r="E590" s="12"/>
      <c r="F590" s="11">
        <f>RITable[[#This Row],[Price (1y)]]/RITable[[#This Row],[Ratio]]</f>
        <v>0</v>
      </c>
      <c r="H590" s="12"/>
      <c r="I590" s="10">
        <f>RITable[[#This Row],[Price (3y)]]/RITable[[#This Row],[Ratio]] / 3</f>
        <v>0</v>
      </c>
    </row>
    <row r="591" spans="1:9" x14ac:dyDescent="0.3">
      <c r="A591" t="s">
        <v>513</v>
      </c>
      <c r="B591" t="s">
        <v>529</v>
      </c>
      <c r="C591">
        <v>32</v>
      </c>
      <c r="E591" s="12"/>
      <c r="F591" s="11">
        <f>RITable[[#This Row],[Price (1y)]]/RITable[[#This Row],[Ratio]]</f>
        <v>0</v>
      </c>
      <c r="H591" s="12"/>
      <c r="I591" s="10">
        <f>RITable[[#This Row],[Price (3y)]]/RITable[[#This Row],[Ratio]] / 3</f>
        <v>0</v>
      </c>
    </row>
    <row r="592" spans="1:9" x14ac:dyDescent="0.3">
      <c r="A592" t="s">
        <v>513</v>
      </c>
      <c r="B592" t="s">
        <v>532</v>
      </c>
      <c r="C592">
        <v>48</v>
      </c>
      <c r="E592" s="12"/>
      <c r="F592" s="11">
        <f>RITable[[#This Row],[Price (1y)]]/RITable[[#This Row],[Ratio]]</f>
        <v>0</v>
      </c>
      <c r="H592" s="12"/>
      <c r="I592" s="10">
        <f>RITable[[#This Row],[Price (3y)]]/RITable[[#This Row],[Ratio]] / 3</f>
        <v>0</v>
      </c>
    </row>
    <row r="593" spans="1:9" x14ac:dyDescent="0.3">
      <c r="A593" t="s">
        <v>513</v>
      </c>
      <c r="B593" t="s">
        <v>531</v>
      </c>
      <c r="C593">
        <v>48</v>
      </c>
      <c r="E593" s="12"/>
      <c r="F593" s="11">
        <f>RITable[[#This Row],[Price (1y)]]/RITable[[#This Row],[Ratio]]</f>
        <v>0</v>
      </c>
      <c r="H593" s="12"/>
      <c r="I593" s="10">
        <f>RITable[[#This Row],[Price (3y)]]/RITable[[#This Row],[Ratio]] / 3</f>
        <v>0</v>
      </c>
    </row>
    <row r="594" spans="1:9" x14ac:dyDescent="0.3">
      <c r="A594" t="s">
        <v>513</v>
      </c>
      <c r="B594" t="s">
        <v>533</v>
      </c>
      <c r="C594">
        <v>48</v>
      </c>
      <c r="E594" s="12"/>
      <c r="F594" s="11">
        <f>RITable[[#This Row],[Price (1y)]]/RITable[[#This Row],[Ratio]]</f>
        <v>0</v>
      </c>
      <c r="H594" s="12"/>
      <c r="I594" s="10">
        <f>RITable[[#This Row],[Price (3y)]]/RITable[[#This Row],[Ratio]] / 3</f>
        <v>0</v>
      </c>
    </row>
    <row r="595" spans="1:9" x14ac:dyDescent="0.3">
      <c r="A595" t="s">
        <v>1128</v>
      </c>
      <c r="B595" t="s">
        <v>1129</v>
      </c>
      <c r="C595">
        <v>1</v>
      </c>
      <c r="E595" s="12"/>
      <c r="F595" s="11">
        <f>RITable[[#This Row],[Price (1y)]]/RITable[[#This Row],[Ratio]]</f>
        <v>0</v>
      </c>
      <c r="H595" s="12"/>
      <c r="I595" s="10">
        <f>RITable[[#This Row],[Price (3y)]]/RITable[[#This Row],[Ratio]] / 3</f>
        <v>0</v>
      </c>
    </row>
    <row r="596" spans="1:9" x14ac:dyDescent="0.3">
      <c r="A596" t="s">
        <v>534</v>
      </c>
      <c r="B596" t="s">
        <v>535</v>
      </c>
      <c r="C596">
        <v>1</v>
      </c>
      <c r="E596" s="12"/>
      <c r="F596" s="11">
        <f>RITable[[#This Row],[Price (1y)]]/RITable[[#This Row],[Ratio]]</f>
        <v>0</v>
      </c>
      <c r="H596" s="12"/>
      <c r="I596" s="10">
        <f>RITable[[#This Row],[Price (3y)]]/RITable[[#This Row],[Ratio]] / 3</f>
        <v>0</v>
      </c>
    </row>
    <row r="597" spans="1:9" x14ac:dyDescent="0.3">
      <c r="A597" t="s">
        <v>534</v>
      </c>
      <c r="B597" t="s">
        <v>536</v>
      </c>
      <c r="C597">
        <v>2</v>
      </c>
      <c r="E597" s="12"/>
      <c r="F597" s="11">
        <f>RITable[[#This Row],[Price (1y)]]/RITable[[#This Row],[Ratio]]</f>
        <v>0</v>
      </c>
      <c r="H597" s="12"/>
      <c r="I597" s="10">
        <f>RITable[[#This Row],[Price (3y)]]/RITable[[#This Row],[Ratio]] / 3</f>
        <v>0</v>
      </c>
    </row>
    <row r="598" spans="1:9" x14ac:dyDescent="0.3">
      <c r="A598" t="s">
        <v>534</v>
      </c>
      <c r="B598" t="s">
        <v>537</v>
      </c>
      <c r="C598">
        <v>4</v>
      </c>
      <c r="E598" s="12"/>
      <c r="F598" s="11">
        <f>RITable[[#This Row],[Price (1y)]]/RITable[[#This Row],[Ratio]]</f>
        <v>0</v>
      </c>
      <c r="H598" s="12"/>
      <c r="I598" s="10">
        <f>RITable[[#This Row],[Price (3y)]]/RITable[[#This Row],[Ratio]] / 3</f>
        <v>0</v>
      </c>
    </row>
    <row r="599" spans="1:9" x14ac:dyDescent="0.3">
      <c r="A599" t="s">
        <v>534</v>
      </c>
      <c r="B599" t="s">
        <v>538</v>
      </c>
      <c r="C599">
        <v>8</v>
      </c>
      <c r="E599" s="12"/>
      <c r="F599" s="11">
        <f>RITable[[#This Row],[Price (1y)]]/RITable[[#This Row],[Ratio]]</f>
        <v>0</v>
      </c>
      <c r="H599" s="12"/>
      <c r="I599" s="10">
        <f>RITable[[#This Row],[Price (3y)]]/RITable[[#This Row],[Ratio]] / 3</f>
        <v>0</v>
      </c>
    </row>
    <row r="600" spans="1:9" x14ac:dyDescent="0.3">
      <c r="A600" t="s">
        <v>534</v>
      </c>
      <c r="B600" t="s">
        <v>539</v>
      </c>
      <c r="C600">
        <v>10</v>
      </c>
      <c r="E600" s="12"/>
      <c r="F600" s="11">
        <f>RITable[[#This Row],[Price (1y)]]/RITable[[#This Row],[Ratio]]</f>
        <v>0</v>
      </c>
      <c r="H600" s="12"/>
      <c r="I600" s="10">
        <f>RITable[[#This Row],[Price (3y)]]/RITable[[#This Row],[Ratio]] / 3</f>
        <v>0</v>
      </c>
    </row>
    <row r="601" spans="1:9" x14ac:dyDescent="0.3">
      <c r="A601" t="s">
        <v>534</v>
      </c>
      <c r="B601" t="s">
        <v>540</v>
      </c>
      <c r="C601">
        <v>16</v>
      </c>
      <c r="E601" s="12"/>
      <c r="F601" s="11">
        <f>RITable[[#This Row],[Price (1y)]]/RITable[[#This Row],[Ratio]]</f>
        <v>0</v>
      </c>
      <c r="H601" s="12"/>
      <c r="I601" s="10">
        <f>RITable[[#This Row],[Price (3y)]]/RITable[[#This Row],[Ratio]] / 3</f>
        <v>0</v>
      </c>
    </row>
    <row r="602" spans="1:9" x14ac:dyDescent="0.3">
      <c r="A602" t="s">
        <v>534</v>
      </c>
      <c r="B602" t="s">
        <v>541</v>
      </c>
      <c r="C602">
        <v>24</v>
      </c>
      <c r="E602" s="12"/>
      <c r="F602" s="11">
        <f>RITable[[#This Row],[Price (1y)]]/RITable[[#This Row],[Ratio]]</f>
        <v>0</v>
      </c>
      <c r="H602" s="12"/>
      <c r="I602" s="10">
        <f>RITable[[#This Row],[Price (3y)]]/RITable[[#This Row],[Ratio]] / 3</f>
        <v>0</v>
      </c>
    </row>
    <row r="603" spans="1:9" x14ac:dyDescent="0.3">
      <c r="A603" t="s">
        <v>534</v>
      </c>
      <c r="B603" t="s">
        <v>542</v>
      </c>
      <c r="C603">
        <v>32</v>
      </c>
      <c r="E603" s="12"/>
      <c r="F603" s="11">
        <f>RITable[[#This Row],[Price (1y)]]/RITable[[#This Row],[Ratio]]</f>
        <v>0</v>
      </c>
      <c r="H603" s="12"/>
      <c r="I603" s="10">
        <f>RITable[[#This Row],[Price (3y)]]/RITable[[#This Row],[Ratio]] / 3</f>
        <v>0</v>
      </c>
    </row>
    <row r="604" spans="1:9" x14ac:dyDescent="0.3">
      <c r="A604" t="s">
        <v>543</v>
      </c>
      <c r="B604" t="s">
        <v>544</v>
      </c>
      <c r="C604">
        <v>1</v>
      </c>
      <c r="E604" s="12"/>
      <c r="F604" s="11">
        <f>RITable[[#This Row],[Price (1y)]]/RITable[[#This Row],[Ratio]]</f>
        <v>0</v>
      </c>
      <c r="H604" s="12"/>
      <c r="I604" s="10">
        <f>RITable[[#This Row],[Price (3y)]]/RITable[[#This Row],[Ratio]] / 3</f>
        <v>0</v>
      </c>
    </row>
    <row r="605" spans="1:9" x14ac:dyDescent="0.3">
      <c r="A605" t="s">
        <v>543</v>
      </c>
      <c r="B605" t="s">
        <v>545</v>
      </c>
      <c r="C605">
        <v>2</v>
      </c>
      <c r="E605" s="12"/>
      <c r="F605" s="11">
        <f>RITable[[#This Row],[Price (1y)]]/RITable[[#This Row],[Ratio]]</f>
        <v>0</v>
      </c>
      <c r="H605" s="12"/>
      <c r="I605" s="10">
        <f>RITable[[#This Row],[Price (3y)]]/RITable[[#This Row],[Ratio]] / 3</f>
        <v>0</v>
      </c>
    </row>
    <row r="606" spans="1:9" x14ac:dyDescent="0.3">
      <c r="A606" t="s">
        <v>543</v>
      </c>
      <c r="B606" t="s">
        <v>546</v>
      </c>
      <c r="C606">
        <v>4</v>
      </c>
      <c r="E606" s="12"/>
      <c r="F606" s="11">
        <f>RITable[[#This Row],[Price (1y)]]/RITable[[#This Row],[Ratio]]</f>
        <v>0</v>
      </c>
      <c r="H606" s="12"/>
      <c r="I606" s="10">
        <f>RITable[[#This Row],[Price (3y)]]/RITable[[#This Row],[Ratio]] / 3</f>
        <v>0</v>
      </c>
    </row>
    <row r="607" spans="1:9" x14ac:dyDescent="0.3">
      <c r="A607" t="s">
        <v>543</v>
      </c>
      <c r="B607" t="s">
        <v>547</v>
      </c>
      <c r="C607">
        <v>8</v>
      </c>
      <c r="E607" s="12"/>
      <c r="F607" s="11">
        <f>RITable[[#This Row],[Price (1y)]]/RITable[[#This Row],[Ratio]]</f>
        <v>0</v>
      </c>
      <c r="H607" s="12"/>
      <c r="I607" s="10">
        <f>RITable[[#This Row],[Price (3y)]]/RITable[[#This Row],[Ratio]] / 3</f>
        <v>0</v>
      </c>
    </row>
    <row r="608" spans="1:9" x14ac:dyDescent="0.3">
      <c r="A608" t="s">
        <v>543</v>
      </c>
      <c r="B608" t="s">
        <v>548</v>
      </c>
      <c r="C608">
        <v>10</v>
      </c>
      <c r="E608" s="12"/>
      <c r="F608" s="11">
        <f>RITable[[#This Row],[Price (1y)]]/RITable[[#This Row],[Ratio]]</f>
        <v>0</v>
      </c>
      <c r="H608" s="12"/>
      <c r="I608" s="10">
        <f>RITable[[#This Row],[Price (3y)]]/RITable[[#This Row],[Ratio]] / 3</f>
        <v>0</v>
      </c>
    </row>
    <row r="609" spans="1:9" x14ac:dyDescent="0.3">
      <c r="A609" t="s">
        <v>543</v>
      </c>
      <c r="B609" t="s">
        <v>549</v>
      </c>
      <c r="C609">
        <v>16</v>
      </c>
      <c r="E609" s="12"/>
      <c r="F609" s="11">
        <f>RITable[[#This Row],[Price (1y)]]/RITable[[#This Row],[Ratio]]</f>
        <v>0</v>
      </c>
      <c r="H609" s="12"/>
      <c r="I609" s="10">
        <f>RITable[[#This Row],[Price (3y)]]/RITable[[#This Row],[Ratio]] / 3</f>
        <v>0</v>
      </c>
    </row>
    <row r="610" spans="1:9" x14ac:dyDescent="0.3">
      <c r="A610" t="s">
        <v>543</v>
      </c>
      <c r="B610" t="s">
        <v>550</v>
      </c>
      <c r="C610">
        <v>24</v>
      </c>
      <c r="E610" s="12"/>
      <c r="F610" s="11">
        <f>RITable[[#This Row],[Price (1y)]]/RITable[[#This Row],[Ratio]]</f>
        <v>0</v>
      </c>
      <c r="H610" s="12"/>
      <c r="I610" s="10">
        <f>RITable[[#This Row],[Price (3y)]]/RITable[[#This Row],[Ratio]] / 3</f>
        <v>0</v>
      </c>
    </row>
    <row r="611" spans="1:9" x14ac:dyDescent="0.3">
      <c r="A611" t="s">
        <v>543</v>
      </c>
      <c r="B611" t="s">
        <v>551</v>
      </c>
      <c r="C611">
        <v>32</v>
      </c>
      <c r="E611" s="12"/>
      <c r="F611" s="11">
        <f>RITable[[#This Row],[Price (1y)]]/RITable[[#This Row],[Ratio]]</f>
        <v>0</v>
      </c>
      <c r="H611" s="12"/>
      <c r="I611" s="10">
        <f>RITable[[#This Row],[Price (3y)]]/RITable[[#This Row],[Ratio]] / 3</f>
        <v>0</v>
      </c>
    </row>
    <row r="612" spans="1:9" x14ac:dyDescent="0.3">
      <c r="A612" t="s">
        <v>543</v>
      </c>
      <c r="B612" t="s">
        <v>552</v>
      </c>
      <c r="C612">
        <v>48</v>
      </c>
      <c r="E612" s="12"/>
      <c r="F612" s="11">
        <f>RITable[[#This Row],[Price (1y)]]/RITable[[#This Row],[Ratio]]</f>
        <v>0</v>
      </c>
      <c r="H612" s="12"/>
      <c r="I612" s="10">
        <f>RITable[[#This Row],[Price (3y)]]/RITable[[#This Row],[Ratio]] / 3</f>
        <v>0</v>
      </c>
    </row>
    <row r="613" spans="1:9" x14ac:dyDescent="0.3">
      <c r="A613" t="s">
        <v>543</v>
      </c>
      <c r="B613" t="s">
        <v>553</v>
      </c>
      <c r="C613">
        <v>52</v>
      </c>
      <c r="E613" s="12"/>
      <c r="F613" s="11">
        <f>RITable[[#This Row],[Price (1y)]]/RITable[[#This Row],[Ratio]]</f>
        <v>0</v>
      </c>
      <c r="H613" s="12"/>
      <c r="I613" s="10">
        <f>RITable[[#This Row],[Price (3y)]]/RITable[[#This Row],[Ratio]] / 3</f>
        <v>0</v>
      </c>
    </row>
    <row r="614" spans="1:9" x14ac:dyDescent="0.3">
      <c r="A614" t="s">
        <v>1130</v>
      </c>
      <c r="B614" t="s">
        <v>1131</v>
      </c>
      <c r="C614">
        <v>1</v>
      </c>
      <c r="E614" s="12"/>
      <c r="F614" s="11">
        <f>RITable[[#This Row],[Price (1y)]]/RITable[[#This Row],[Ratio]]</f>
        <v>0</v>
      </c>
      <c r="H614" s="12"/>
      <c r="I614" s="10">
        <f>RITable[[#This Row],[Price (3y)]]/RITable[[#This Row],[Ratio]] / 3</f>
        <v>0</v>
      </c>
    </row>
    <row r="615" spans="1:9" x14ac:dyDescent="0.3">
      <c r="A615" t="s">
        <v>1132</v>
      </c>
      <c r="B615" t="s">
        <v>1133</v>
      </c>
      <c r="C615">
        <v>1</v>
      </c>
      <c r="E615" s="12"/>
      <c r="F615" s="11">
        <f>RITable[[#This Row],[Price (1y)]]/RITable[[#This Row],[Ratio]]</f>
        <v>0</v>
      </c>
      <c r="H615" s="12"/>
      <c r="I615" s="10">
        <f>RITable[[#This Row],[Price (3y)]]/RITable[[#This Row],[Ratio]] / 3</f>
        <v>0</v>
      </c>
    </row>
    <row r="616" spans="1:9" x14ac:dyDescent="0.3">
      <c r="A616" t="s">
        <v>1132</v>
      </c>
      <c r="B616" t="s">
        <v>1134</v>
      </c>
      <c r="C616">
        <v>2</v>
      </c>
      <c r="E616" s="12"/>
      <c r="F616" s="11">
        <f>RITable[[#This Row],[Price (1y)]]/RITable[[#This Row],[Ratio]]</f>
        <v>0</v>
      </c>
      <c r="H616" s="12"/>
      <c r="I616" s="10">
        <f>RITable[[#This Row],[Price (3y)]]/RITable[[#This Row],[Ratio]] / 3</f>
        <v>0</v>
      </c>
    </row>
    <row r="617" spans="1:9" x14ac:dyDescent="0.3">
      <c r="A617" t="s">
        <v>1132</v>
      </c>
      <c r="B617" t="s">
        <v>1135</v>
      </c>
      <c r="C617">
        <v>4</v>
      </c>
      <c r="E617" s="12"/>
      <c r="F617" s="11">
        <f>RITable[[#This Row],[Price (1y)]]/RITable[[#This Row],[Ratio]]</f>
        <v>0</v>
      </c>
      <c r="H617" s="12"/>
      <c r="I617" s="10">
        <f>RITable[[#This Row],[Price (3y)]]/RITable[[#This Row],[Ratio]] / 3</f>
        <v>0</v>
      </c>
    </row>
    <row r="618" spans="1:9" x14ac:dyDescent="0.3">
      <c r="A618" t="s">
        <v>1132</v>
      </c>
      <c r="B618" t="s">
        <v>1136</v>
      </c>
      <c r="C618">
        <v>8</v>
      </c>
      <c r="E618" s="12"/>
      <c r="F618" s="11">
        <f>RITable[[#This Row],[Price (1y)]]/RITable[[#This Row],[Ratio]]</f>
        <v>0</v>
      </c>
      <c r="H618" s="12"/>
      <c r="I618" s="10">
        <f>RITable[[#This Row],[Price (3y)]]/RITable[[#This Row],[Ratio]] / 3</f>
        <v>0</v>
      </c>
    </row>
    <row r="619" spans="1:9" x14ac:dyDescent="0.3">
      <c r="A619" t="s">
        <v>1132</v>
      </c>
      <c r="B619" t="s">
        <v>1137</v>
      </c>
      <c r="C619">
        <v>10</v>
      </c>
      <c r="E619" s="12"/>
      <c r="F619" s="11">
        <f>RITable[[#This Row],[Price (1y)]]/RITable[[#This Row],[Ratio]]</f>
        <v>0</v>
      </c>
      <c r="H619" s="12"/>
      <c r="I619" s="10">
        <f>RITable[[#This Row],[Price (3y)]]/RITable[[#This Row],[Ratio]] / 3</f>
        <v>0</v>
      </c>
    </row>
    <row r="620" spans="1:9" x14ac:dyDescent="0.3">
      <c r="A620" t="s">
        <v>1132</v>
      </c>
      <c r="B620" t="s">
        <v>1138</v>
      </c>
      <c r="C620">
        <v>16</v>
      </c>
      <c r="E620" s="12"/>
      <c r="F620" s="11">
        <f>RITable[[#This Row],[Price (1y)]]/RITable[[#This Row],[Ratio]]</f>
        <v>0</v>
      </c>
      <c r="H620" s="12"/>
      <c r="I620" s="10">
        <f>RITable[[#This Row],[Price (3y)]]/RITable[[#This Row],[Ratio]] / 3</f>
        <v>0</v>
      </c>
    </row>
    <row r="621" spans="1:9" x14ac:dyDescent="0.3">
      <c r="A621" t="s">
        <v>1139</v>
      </c>
      <c r="B621" t="s">
        <v>1140</v>
      </c>
      <c r="C621">
        <v>1</v>
      </c>
      <c r="E621" s="12"/>
      <c r="F621" s="11">
        <f>RITable[[#This Row],[Price (1y)]]/RITable[[#This Row],[Ratio]]</f>
        <v>0</v>
      </c>
      <c r="H621" s="12"/>
      <c r="I621" s="10">
        <f>RITable[[#This Row],[Price (3y)]]/RITable[[#This Row],[Ratio]] / 3</f>
        <v>0</v>
      </c>
    </row>
    <row r="622" spans="1:9" x14ac:dyDescent="0.3">
      <c r="A622" t="s">
        <v>1139</v>
      </c>
      <c r="B622" t="s">
        <v>1141</v>
      </c>
      <c r="C622">
        <v>2</v>
      </c>
      <c r="E622" s="12"/>
      <c r="F622" s="11">
        <f>RITable[[#This Row],[Price (1y)]]/RITable[[#This Row],[Ratio]]</f>
        <v>0</v>
      </c>
      <c r="H622" s="12"/>
      <c r="I622" s="10">
        <f>RITable[[#This Row],[Price (3y)]]/RITable[[#This Row],[Ratio]] / 3</f>
        <v>0</v>
      </c>
    </row>
    <row r="623" spans="1:9" x14ac:dyDescent="0.3">
      <c r="A623" t="s">
        <v>1139</v>
      </c>
      <c r="B623" t="s">
        <v>1142</v>
      </c>
      <c r="C623">
        <v>4</v>
      </c>
      <c r="E623" s="12"/>
      <c r="F623" s="11">
        <f>RITable[[#This Row],[Price (1y)]]/RITable[[#This Row],[Ratio]]</f>
        <v>0</v>
      </c>
      <c r="H623" s="12"/>
      <c r="I623" s="10">
        <f>RITable[[#This Row],[Price (3y)]]/RITable[[#This Row],[Ratio]] / 3</f>
        <v>0</v>
      </c>
    </row>
    <row r="624" spans="1:9" x14ac:dyDescent="0.3">
      <c r="A624" t="s">
        <v>1139</v>
      </c>
      <c r="B624" t="s">
        <v>1143</v>
      </c>
      <c r="C624">
        <v>8</v>
      </c>
      <c r="E624" s="12"/>
      <c r="F624" s="11">
        <f>RITable[[#This Row],[Price (1y)]]/RITable[[#This Row],[Ratio]]</f>
        <v>0</v>
      </c>
      <c r="H624" s="12"/>
      <c r="I624" s="10">
        <f>RITable[[#This Row],[Price (3y)]]/RITable[[#This Row],[Ratio]] / 3</f>
        <v>0</v>
      </c>
    </row>
    <row r="625" spans="1:9" x14ac:dyDescent="0.3">
      <c r="A625" t="s">
        <v>1139</v>
      </c>
      <c r="B625" t="s">
        <v>1144</v>
      </c>
      <c r="C625">
        <v>10</v>
      </c>
      <c r="E625" s="12"/>
      <c r="F625" s="11">
        <f>RITable[[#This Row],[Price (1y)]]/RITable[[#This Row],[Ratio]]</f>
        <v>0</v>
      </c>
      <c r="H625" s="12"/>
      <c r="I625" s="10">
        <f>RITable[[#This Row],[Price (3y)]]/RITable[[#This Row],[Ratio]] / 3</f>
        <v>0</v>
      </c>
    </row>
    <row r="626" spans="1:9" x14ac:dyDescent="0.3">
      <c r="A626" t="s">
        <v>1139</v>
      </c>
      <c r="B626" t="s">
        <v>1145</v>
      </c>
      <c r="C626">
        <v>16</v>
      </c>
      <c r="E626" s="12"/>
      <c r="F626" s="11">
        <f>RITable[[#This Row],[Price (1y)]]/RITable[[#This Row],[Ratio]]</f>
        <v>0</v>
      </c>
      <c r="H626" s="12"/>
      <c r="I626" s="10">
        <f>RITable[[#This Row],[Price (3y)]]/RITable[[#This Row],[Ratio]] / 3</f>
        <v>0</v>
      </c>
    </row>
    <row r="627" spans="1:9" x14ac:dyDescent="0.3">
      <c r="A627" t="s">
        <v>45</v>
      </c>
      <c r="B627" t="s">
        <v>554</v>
      </c>
      <c r="C627">
        <v>1</v>
      </c>
      <c r="E627" s="12"/>
      <c r="F627" s="11">
        <f>RITable[[#This Row],[Price (1y)]]/RITable[[#This Row],[Ratio]]</f>
        <v>0</v>
      </c>
      <c r="H627" s="12"/>
      <c r="I627" s="10">
        <f>RITable[[#This Row],[Price (3y)]]/RITable[[#This Row],[Ratio]] / 3</f>
        <v>0</v>
      </c>
    </row>
    <row r="628" spans="1:9" x14ac:dyDescent="0.3">
      <c r="A628" t="s">
        <v>45</v>
      </c>
      <c r="B628" t="s">
        <v>556</v>
      </c>
      <c r="C628">
        <v>2</v>
      </c>
      <c r="E628" s="12"/>
      <c r="F628" s="11">
        <f>RITable[[#This Row],[Price (1y)]]/RITable[[#This Row],[Ratio]]</f>
        <v>0</v>
      </c>
      <c r="H628" s="12"/>
      <c r="I628" s="10">
        <f>RITable[[#This Row],[Price (3y)]]/RITable[[#This Row],[Ratio]] / 3</f>
        <v>0</v>
      </c>
    </row>
    <row r="629" spans="1:9" x14ac:dyDescent="0.3">
      <c r="A629" t="s">
        <v>45</v>
      </c>
      <c r="B629" t="s">
        <v>557</v>
      </c>
      <c r="C629">
        <v>2</v>
      </c>
      <c r="E629" s="12"/>
      <c r="F629" s="11">
        <f>RITable[[#This Row],[Price (1y)]]/RITable[[#This Row],[Ratio]]</f>
        <v>0</v>
      </c>
      <c r="H629" s="12"/>
      <c r="I629" s="10">
        <f>RITable[[#This Row],[Price (3y)]]/RITable[[#This Row],[Ratio]] / 3</f>
        <v>0</v>
      </c>
    </row>
    <row r="630" spans="1:9" x14ac:dyDescent="0.3">
      <c r="A630" t="s">
        <v>45</v>
      </c>
      <c r="B630" t="s">
        <v>555</v>
      </c>
      <c r="C630">
        <v>2</v>
      </c>
      <c r="E630" s="12"/>
      <c r="F630" s="11">
        <f>RITable[[#This Row],[Price (1y)]]/RITable[[#This Row],[Ratio]]</f>
        <v>0</v>
      </c>
      <c r="H630" s="12"/>
      <c r="I630" s="10">
        <f>RITable[[#This Row],[Price (3y)]]/RITable[[#This Row],[Ratio]] / 3</f>
        <v>0</v>
      </c>
    </row>
    <row r="631" spans="1:9" x14ac:dyDescent="0.3">
      <c r="A631" t="s">
        <v>45</v>
      </c>
      <c r="B631" t="s">
        <v>558</v>
      </c>
      <c r="C631">
        <v>4</v>
      </c>
      <c r="E631" s="12"/>
      <c r="F631" s="11">
        <f>RITable[[#This Row],[Price (1y)]]/RITable[[#This Row],[Ratio]]</f>
        <v>0</v>
      </c>
      <c r="H631" s="12"/>
      <c r="I631" s="10">
        <f>RITable[[#This Row],[Price (3y)]]/RITable[[#This Row],[Ratio]] / 3</f>
        <v>0</v>
      </c>
    </row>
    <row r="632" spans="1:9" x14ac:dyDescent="0.3">
      <c r="A632" t="s">
        <v>45</v>
      </c>
      <c r="B632" t="s">
        <v>559</v>
      </c>
      <c r="C632">
        <v>4</v>
      </c>
      <c r="E632" s="12"/>
      <c r="F632" s="11">
        <f>RITable[[#This Row],[Price (1y)]]/RITable[[#This Row],[Ratio]]</f>
        <v>0</v>
      </c>
      <c r="H632" s="12"/>
      <c r="I632" s="10">
        <f>RITable[[#This Row],[Price (3y)]]/RITable[[#This Row],[Ratio]] / 3</f>
        <v>0</v>
      </c>
    </row>
    <row r="633" spans="1:9" x14ac:dyDescent="0.3">
      <c r="A633" t="s">
        <v>45</v>
      </c>
      <c r="B633" t="s">
        <v>561</v>
      </c>
      <c r="C633">
        <v>4</v>
      </c>
      <c r="E633" s="12"/>
      <c r="F633" s="11">
        <f>RITable[[#This Row],[Price (1y)]]/RITable[[#This Row],[Ratio]]</f>
        <v>0</v>
      </c>
      <c r="H633" s="12"/>
      <c r="I633" s="10">
        <f>RITable[[#This Row],[Price (3y)]]/RITable[[#This Row],[Ratio]] / 3</f>
        <v>0</v>
      </c>
    </row>
    <row r="634" spans="1:9" x14ac:dyDescent="0.3">
      <c r="A634" t="s">
        <v>45</v>
      </c>
      <c r="B634" t="s">
        <v>560</v>
      </c>
      <c r="C634">
        <v>4</v>
      </c>
      <c r="E634" s="12"/>
      <c r="F634" s="11">
        <f>RITable[[#This Row],[Price (1y)]]/RITable[[#This Row],[Ratio]]</f>
        <v>0</v>
      </c>
      <c r="H634" s="12"/>
      <c r="I634" s="10">
        <f>RITable[[#This Row],[Price (3y)]]/RITable[[#This Row],[Ratio]] / 3</f>
        <v>0</v>
      </c>
    </row>
    <row r="635" spans="1:9" x14ac:dyDescent="0.3">
      <c r="A635" t="s">
        <v>45</v>
      </c>
      <c r="B635" t="s">
        <v>562</v>
      </c>
      <c r="C635">
        <v>8</v>
      </c>
      <c r="E635" s="12"/>
      <c r="F635" s="11">
        <f>RITable[[#This Row],[Price (1y)]]/RITable[[#This Row],[Ratio]]</f>
        <v>0</v>
      </c>
      <c r="H635" s="12"/>
      <c r="I635" s="10">
        <f>RITable[[#This Row],[Price (3y)]]/RITable[[#This Row],[Ratio]] / 3</f>
        <v>0</v>
      </c>
    </row>
    <row r="636" spans="1:9" x14ac:dyDescent="0.3">
      <c r="A636" t="s">
        <v>45</v>
      </c>
      <c r="B636" t="s">
        <v>563</v>
      </c>
      <c r="C636">
        <v>8</v>
      </c>
      <c r="E636" s="12"/>
      <c r="F636" s="11">
        <f>RITable[[#This Row],[Price (1y)]]/RITable[[#This Row],[Ratio]]</f>
        <v>0</v>
      </c>
      <c r="H636" s="12"/>
      <c r="I636" s="10">
        <f>RITable[[#This Row],[Price (3y)]]/RITable[[#This Row],[Ratio]] / 3</f>
        <v>0</v>
      </c>
    </row>
    <row r="637" spans="1:9" x14ac:dyDescent="0.3">
      <c r="A637" t="s">
        <v>45</v>
      </c>
      <c r="B637" t="s">
        <v>565</v>
      </c>
      <c r="C637">
        <v>8</v>
      </c>
      <c r="E637" s="12"/>
      <c r="F637" s="11">
        <f>RITable[[#This Row],[Price (1y)]]/RITable[[#This Row],[Ratio]]</f>
        <v>0</v>
      </c>
      <c r="H637" s="12"/>
      <c r="I637" s="10">
        <f>RITable[[#This Row],[Price (3y)]]/RITable[[#This Row],[Ratio]] / 3</f>
        <v>0</v>
      </c>
    </row>
    <row r="638" spans="1:9" x14ac:dyDescent="0.3">
      <c r="A638" t="s">
        <v>45</v>
      </c>
      <c r="B638" t="s">
        <v>564</v>
      </c>
      <c r="C638">
        <v>8</v>
      </c>
      <c r="E638" s="12"/>
      <c r="F638" s="11">
        <f>RITable[[#This Row],[Price (1y)]]/RITable[[#This Row],[Ratio]]</f>
        <v>0</v>
      </c>
      <c r="H638" s="12"/>
      <c r="I638" s="10">
        <f>RITable[[#This Row],[Price (3y)]]/RITable[[#This Row],[Ratio]] / 3</f>
        <v>0</v>
      </c>
    </row>
    <row r="639" spans="1:9" x14ac:dyDescent="0.3">
      <c r="A639" t="s">
        <v>45</v>
      </c>
      <c r="B639" t="s">
        <v>566</v>
      </c>
      <c r="C639">
        <v>10</v>
      </c>
      <c r="E639" s="12"/>
      <c r="F639" s="11">
        <f>RITable[[#This Row],[Price (1y)]]/RITable[[#This Row],[Ratio]]</f>
        <v>0</v>
      </c>
      <c r="H639" s="12"/>
      <c r="I639" s="10">
        <f>RITable[[#This Row],[Price (3y)]]/RITable[[#This Row],[Ratio]] / 3</f>
        <v>0</v>
      </c>
    </row>
    <row r="640" spans="1:9" x14ac:dyDescent="0.3">
      <c r="A640" t="s">
        <v>45</v>
      </c>
      <c r="B640" t="s">
        <v>567</v>
      </c>
      <c r="C640">
        <v>16</v>
      </c>
      <c r="E640" s="12"/>
      <c r="F640" s="11">
        <f>RITable[[#This Row],[Price (1y)]]/RITable[[#This Row],[Ratio]]</f>
        <v>0</v>
      </c>
      <c r="H640" s="12"/>
      <c r="I640" s="10">
        <f>RITable[[#This Row],[Price (3y)]]/RITable[[#This Row],[Ratio]] / 3</f>
        <v>0</v>
      </c>
    </row>
    <row r="641" spans="1:9" x14ac:dyDescent="0.3">
      <c r="A641" t="s">
        <v>45</v>
      </c>
      <c r="B641" t="s">
        <v>569</v>
      </c>
      <c r="C641">
        <v>16</v>
      </c>
      <c r="E641" s="12"/>
      <c r="F641" s="11">
        <f>RITable[[#This Row],[Price (1y)]]/RITable[[#This Row],[Ratio]]</f>
        <v>0</v>
      </c>
      <c r="H641" s="12"/>
      <c r="I641" s="10">
        <f>RITable[[#This Row],[Price (3y)]]/RITable[[#This Row],[Ratio]] / 3</f>
        <v>0</v>
      </c>
    </row>
    <row r="642" spans="1:9" x14ac:dyDescent="0.3">
      <c r="A642" t="s">
        <v>45</v>
      </c>
      <c r="B642" t="s">
        <v>570</v>
      </c>
      <c r="C642">
        <v>16</v>
      </c>
      <c r="E642" s="12"/>
      <c r="F642" s="11">
        <f>RITable[[#This Row],[Price (1y)]]/RITable[[#This Row],[Ratio]]</f>
        <v>0</v>
      </c>
      <c r="H642" s="12"/>
      <c r="I642" s="10">
        <f>RITable[[#This Row],[Price (3y)]]/RITable[[#This Row],[Ratio]] / 3</f>
        <v>0</v>
      </c>
    </row>
    <row r="643" spans="1:9" x14ac:dyDescent="0.3">
      <c r="A643" t="s">
        <v>45</v>
      </c>
      <c r="B643" t="s">
        <v>568</v>
      </c>
      <c r="C643">
        <v>16</v>
      </c>
      <c r="E643" s="12"/>
      <c r="F643" s="11">
        <f>RITable[[#This Row],[Price (1y)]]/RITable[[#This Row],[Ratio]]</f>
        <v>0</v>
      </c>
      <c r="H643" s="12"/>
      <c r="I643" s="10">
        <f>RITable[[#This Row],[Price (3y)]]/RITable[[#This Row],[Ratio]] / 3</f>
        <v>0</v>
      </c>
    </row>
    <row r="644" spans="1:9" x14ac:dyDescent="0.3">
      <c r="A644" t="s">
        <v>45</v>
      </c>
      <c r="B644" t="s">
        <v>571</v>
      </c>
      <c r="C644">
        <v>24</v>
      </c>
      <c r="E644" s="12"/>
      <c r="F644" s="11">
        <f>RITable[[#This Row],[Price (1y)]]/RITable[[#This Row],[Ratio]]</f>
        <v>0</v>
      </c>
      <c r="H644" s="12"/>
      <c r="I644" s="10">
        <f>RITable[[#This Row],[Price (3y)]]/RITable[[#This Row],[Ratio]] / 3</f>
        <v>0</v>
      </c>
    </row>
    <row r="645" spans="1:9" x14ac:dyDescent="0.3">
      <c r="A645" t="s">
        <v>45</v>
      </c>
      <c r="B645" t="s">
        <v>572</v>
      </c>
      <c r="C645">
        <v>32</v>
      </c>
      <c r="E645" s="12"/>
      <c r="F645" s="11">
        <f>RITable[[#This Row],[Price (1y)]]/RITable[[#This Row],[Ratio]]</f>
        <v>0</v>
      </c>
      <c r="H645" s="12"/>
      <c r="I645" s="10">
        <f>RITable[[#This Row],[Price (3y)]]/RITable[[#This Row],[Ratio]] / 3</f>
        <v>0</v>
      </c>
    </row>
    <row r="646" spans="1:9" x14ac:dyDescent="0.3">
      <c r="A646" t="s">
        <v>45</v>
      </c>
      <c r="B646" t="s">
        <v>573</v>
      </c>
      <c r="C646">
        <v>32</v>
      </c>
      <c r="E646" s="12"/>
      <c r="F646" s="11">
        <f>RITable[[#This Row],[Price (1y)]]/RITable[[#This Row],[Ratio]]</f>
        <v>0</v>
      </c>
      <c r="H646" s="12"/>
      <c r="I646" s="10">
        <f>RITable[[#This Row],[Price (3y)]]/RITable[[#This Row],[Ratio]] / 3</f>
        <v>0</v>
      </c>
    </row>
    <row r="647" spans="1:9" x14ac:dyDescent="0.3">
      <c r="A647" t="s">
        <v>45</v>
      </c>
      <c r="B647" t="s">
        <v>574</v>
      </c>
      <c r="C647">
        <v>32</v>
      </c>
      <c r="E647" s="12"/>
      <c r="F647" s="11">
        <f>RITable[[#This Row],[Price (1y)]]/RITable[[#This Row],[Ratio]]</f>
        <v>0</v>
      </c>
      <c r="H647" s="12"/>
      <c r="I647" s="10">
        <f>RITable[[#This Row],[Price (3y)]]/RITable[[#This Row],[Ratio]] / 3</f>
        <v>0</v>
      </c>
    </row>
    <row r="648" spans="1:9" x14ac:dyDescent="0.3">
      <c r="A648" t="s">
        <v>576</v>
      </c>
      <c r="B648" t="s">
        <v>577</v>
      </c>
      <c r="C648">
        <v>1</v>
      </c>
      <c r="E648" s="12"/>
      <c r="F648" s="11">
        <f>RITable[[#This Row],[Price (1y)]]/RITable[[#This Row],[Ratio]]</f>
        <v>0</v>
      </c>
      <c r="H648" s="12"/>
      <c r="I648" s="10">
        <f>RITable[[#This Row],[Price (3y)]]/RITable[[#This Row],[Ratio]] / 3</f>
        <v>0</v>
      </c>
    </row>
    <row r="649" spans="1:9" x14ac:dyDescent="0.3">
      <c r="A649" t="s">
        <v>576</v>
      </c>
      <c r="B649" t="s">
        <v>578</v>
      </c>
      <c r="C649">
        <v>2</v>
      </c>
      <c r="E649" s="12"/>
      <c r="F649" s="11">
        <f>RITable[[#This Row],[Price (1y)]]/RITable[[#This Row],[Ratio]]</f>
        <v>0</v>
      </c>
      <c r="H649" s="12"/>
      <c r="I649" s="10">
        <f>RITable[[#This Row],[Price (3y)]]/RITable[[#This Row],[Ratio]] / 3</f>
        <v>0</v>
      </c>
    </row>
    <row r="650" spans="1:9" x14ac:dyDescent="0.3">
      <c r="A650" t="s">
        <v>576</v>
      </c>
      <c r="B650" t="s">
        <v>579</v>
      </c>
      <c r="C650">
        <v>2</v>
      </c>
      <c r="E650" s="12"/>
      <c r="F650" s="11">
        <f>RITable[[#This Row],[Price (1y)]]/RITable[[#This Row],[Ratio]]</f>
        <v>0</v>
      </c>
      <c r="H650" s="12"/>
      <c r="I650" s="10">
        <f>RITable[[#This Row],[Price (3y)]]/RITable[[#This Row],[Ratio]] / 3</f>
        <v>0</v>
      </c>
    </row>
    <row r="651" spans="1:9" x14ac:dyDescent="0.3">
      <c r="A651" t="s">
        <v>576</v>
      </c>
      <c r="B651" t="s">
        <v>580</v>
      </c>
      <c r="C651">
        <v>4</v>
      </c>
      <c r="E651" s="12"/>
      <c r="F651" s="11">
        <f>RITable[[#This Row],[Price (1y)]]/RITable[[#This Row],[Ratio]]</f>
        <v>0</v>
      </c>
      <c r="H651" s="12"/>
      <c r="I651" s="10">
        <f>RITable[[#This Row],[Price (3y)]]/RITable[[#This Row],[Ratio]] / 3</f>
        <v>0</v>
      </c>
    </row>
    <row r="652" spans="1:9" x14ac:dyDescent="0.3">
      <c r="A652" t="s">
        <v>576</v>
      </c>
      <c r="B652" t="s">
        <v>582</v>
      </c>
      <c r="C652">
        <v>4</v>
      </c>
      <c r="E652" s="12"/>
      <c r="F652" s="11">
        <f>RITable[[#This Row],[Price (1y)]]/RITable[[#This Row],[Ratio]]</f>
        <v>0</v>
      </c>
      <c r="H652" s="12"/>
      <c r="I652" s="10">
        <f>RITable[[#This Row],[Price (3y)]]/RITable[[#This Row],[Ratio]] / 3</f>
        <v>0</v>
      </c>
    </row>
    <row r="653" spans="1:9" x14ac:dyDescent="0.3">
      <c r="A653" t="s">
        <v>576</v>
      </c>
      <c r="B653" t="s">
        <v>581</v>
      </c>
      <c r="C653">
        <v>4</v>
      </c>
      <c r="E653" s="12"/>
      <c r="F653" s="11">
        <f>RITable[[#This Row],[Price (1y)]]/RITable[[#This Row],[Ratio]]</f>
        <v>0</v>
      </c>
      <c r="H653" s="12"/>
      <c r="I653" s="10">
        <f>RITable[[#This Row],[Price (3y)]]/RITable[[#This Row],[Ratio]] / 3</f>
        <v>0</v>
      </c>
    </row>
    <row r="654" spans="1:9" x14ac:dyDescent="0.3">
      <c r="A654" t="s">
        <v>576</v>
      </c>
      <c r="B654" t="s">
        <v>584</v>
      </c>
      <c r="C654">
        <v>8</v>
      </c>
      <c r="E654" s="12"/>
      <c r="F654" s="11">
        <f>RITable[[#This Row],[Price (1y)]]/RITable[[#This Row],[Ratio]]</f>
        <v>0</v>
      </c>
      <c r="H654" s="12"/>
      <c r="I654" s="10">
        <f>RITable[[#This Row],[Price (3y)]]/RITable[[#This Row],[Ratio]] / 3</f>
        <v>0</v>
      </c>
    </row>
    <row r="655" spans="1:9" x14ac:dyDescent="0.3">
      <c r="A655" t="s">
        <v>576</v>
      </c>
      <c r="B655" t="s">
        <v>585</v>
      </c>
      <c r="C655">
        <v>8</v>
      </c>
      <c r="E655" s="12"/>
      <c r="F655" s="11">
        <f>RITable[[#This Row],[Price (1y)]]/RITable[[#This Row],[Ratio]]</f>
        <v>0</v>
      </c>
      <c r="H655" s="12"/>
      <c r="I655" s="10">
        <f>RITable[[#This Row],[Price (3y)]]/RITable[[#This Row],[Ratio]] / 3</f>
        <v>0</v>
      </c>
    </row>
    <row r="656" spans="1:9" x14ac:dyDescent="0.3">
      <c r="A656" t="s">
        <v>576</v>
      </c>
      <c r="B656" t="s">
        <v>583</v>
      </c>
      <c r="C656">
        <v>8</v>
      </c>
      <c r="E656" s="12"/>
      <c r="F656" s="11">
        <f>RITable[[#This Row],[Price (1y)]]/RITable[[#This Row],[Ratio]]</f>
        <v>0</v>
      </c>
      <c r="H656" s="12"/>
      <c r="I656" s="10">
        <f>RITable[[#This Row],[Price (3y)]]/RITable[[#This Row],[Ratio]] / 3</f>
        <v>0</v>
      </c>
    </row>
    <row r="657" spans="1:9" x14ac:dyDescent="0.3">
      <c r="A657" t="s">
        <v>576</v>
      </c>
      <c r="B657" t="s">
        <v>586</v>
      </c>
      <c r="C657">
        <v>10</v>
      </c>
      <c r="E657" s="12"/>
      <c r="F657" s="11">
        <f>RITable[[#This Row],[Price (1y)]]/RITable[[#This Row],[Ratio]]</f>
        <v>0</v>
      </c>
      <c r="H657" s="12"/>
      <c r="I657" s="10">
        <f>RITable[[#This Row],[Price (3y)]]/RITable[[#This Row],[Ratio]] / 3</f>
        <v>0</v>
      </c>
    </row>
    <row r="658" spans="1:9" x14ac:dyDescent="0.3">
      <c r="A658" t="s">
        <v>576</v>
      </c>
      <c r="B658" t="s">
        <v>588</v>
      </c>
      <c r="C658">
        <v>16</v>
      </c>
      <c r="E658" s="12"/>
      <c r="F658" s="11">
        <f>RITable[[#This Row],[Price (1y)]]/RITable[[#This Row],[Ratio]]</f>
        <v>0</v>
      </c>
      <c r="H658" s="12"/>
      <c r="I658" s="10">
        <f>RITable[[#This Row],[Price (3y)]]/RITable[[#This Row],[Ratio]] / 3</f>
        <v>0</v>
      </c>
    </row>
    <row r="659" spans="1:9" x14ac:dyDescent="0.3">
      <c r="A659" t="s">
        <v>576</v>
      </c>
      <c r="B659" t="s">
        <v>587</v>
      </c>
      <c r="C659">
        <v>16</v>
      </c>
      <c r="E659" s="12"/>
      <c r="F659" s="11">
        <f>RITable[[#This Row],[Price (1y)]]/RITable[[#This Row],[Ratio]]</f>
        <v>0</v>
      </c>
      <c r="H659" s="12"/>
      <c r="I659" s="10">
        <f>RITable[[#This Row],[Price (3y)]]/RITable[[#This Row],[Ratio]] / 3</f>
        <v>0</v>
      </c>
    </row>
    <row r="660" spans="1:9" x14ac:dyDescent="0.3">
      <c r="A660" t="s">
        <v>576</v>
      </c>
      <c r="B660" t="s">
        <v>589</v>
      </c>
      <c r="C660">
        <v>16</v>
      </c>
      <c r="E660" s="12"/>
      <c r="F660" s="11">
        <f>RITable[[#This Row],[Price (1y)]]/RITable[[#This Row],[Ratio]]</f>
        <v>0</v>
      </c>
      <c r="H660" s="12"/>
      <c r="I660" s="10">
        <f>RITable[[#This Row],[Price (3y)]]/RITable[[#This Row],[Ratio]] / 3</f>
        <v>0</v>
      </c>
    </row>
    <row r="661" spans="1:9" x14ac:dyDescent="0.3">
      <c r="A661" t="s">
        <v>576</v>
      </c>
      <c r="B661" t="s">
        <v>590</v>
      </c>
      <c r="C661">
        <v>24</v>
      </c>
      <c r="E661" s="12"/>
      <c r="F661" s="11">
        <f>RITable[[#This Row],[Price (1y)]]/RITable[[#This Row],[Ratio]]</f>
        <v>0</v>
      </c>
      <c r="H661" s="12"/>
      <c r="I661" s="10">
        <f>RITable[[#This Row],[Price (3y)]]/RITable[[#This Row],[Ratio]] / 3</f>
        <v>0</v>
      </c>
    </row>
    <row r="662" spans="1:9" x14ac:dyDescent="0.3">
      <c r="A662" t="s">
        <v>576</v>
      </c>
      <c r="B662" t="s">
        <v>591</v>
      </c>
      <c r="C662">
        <v>32</v>
      </c>
      <c r="E662" s="12"/>
      <c r="F662" s="11">
        <f>RITable[[#This Row],[Price (1y)]]/RITable[[#This Row],[Ratio]]</f>
        <v>0</v>
      </c>
      <c r="H662" s="12"/>
      <c r="I662" s="10">
        <f>RITable[[#This Row],[Price (3y)]]/RITable[[#This Row],[Ratio]] / 3</f>
        <v>0</v>
      </c>
    </row>
    <row r="663" spans="1:9" x14ac:dyDescent="0.3">
      <c r="A663" t="s">
        <v>576</v>
      </c>
      <c r="B663" t="s">
        <v>592</v>
      </c>
      <c r="C663">
        <v>32</v>
      </c>
      <c r="E663" s="12"/>
      <c r="F663" s="11">
        <f>RITable[[#This Row],[Price (1y)]]/RITable[[#This Row],[Ratio]]</f>
        <v>0</v>
      </c>
      <c r="H663" s="12"/>
      <c r="I663" s="10">
        <f>RITable[[#This Row],[Price (3y)]]/RITable[[#This Row],[Ratio]] / 3</f>
        <v>0</v>
      </c>
    </row>
    <row r="664" spans="1:9" x14ac:dyDescent="0.3">
      <c r="A664" t="s">
        <v>576</v>
      </c>
      <c r="B664" t="s">
        <v>593</v>
      </c>
      <c r="C664">
        <v>32</v>
      </c>
      <c r="E664" s="12"/>
      <c r="F664" s="11">
        <f>RITable[[#This Row],[Price (1y)]]/RITable[[#This Row],[Ratio]]</f>
        <v>0</v>
      </c>
      <c r="H664" s="12"/>
      <c r="I664" s="10">
        <f>RITable[[#This Row],[Price (3y)]]/RITable[[#This Row],[Ratio]] / 3</f>
        <v>0</v>
      </c>
    </row>
    <row r="665" spans="1:9" x14ac:dyDescent="0.3">
      <c r="A665" t="s">
        <v>576</v>
      </c>
      <c r="B665" t="s">
        <v>595</v>
      </c>
      <c r="C665">
        <v>48</v>
      </c>
      <c r="E665" s="12"/>
      <c r="F665" s="11">
        <f>RITable[[#This Row],[Price (1y)]]/RITable[[#This Row],[Ratio]]</f>
        <v>0</v>
      </c>
      <c r="H665" s="12"/>
      <c r="I665" s="10">
        <f>RITable[[#This Row],[Price (3y)]]/RITable[[#This Row],[Ratio]] / 3</f>
        <v>0</v>
      </c>
    </row>
    <row r="666" spans="1:9" x14ac:dyDescent="0.3">
      <c r="A666" t="s">
        <v>576</v>
      </c>
      <c r="B666" t="s">
        <v>596</v>
      </c>
      <c r="C666">
        <v>48</v>
      </c>
      <c r="E666" s="12"/>
      <c r="F666" s="11">
        <f>RITable[[#This Row],[Price (1y)]]/RITable[[#This Row],[Ratio]]</f>
        <v>0</v>
      </c>
      <c r="H666" s="12"/>
      <c r="I666" s="10">
        <f>RITable[[#This Row],[Price (3y)]]/RITable[[#This Row],[Ratio]] / 3</f>
        <v>0</v>
      </c>
    </row>
    <row r="667" spans="1:9" x14ac:dyDescent="0.3">
      <c r="A667" t="s">
        <v>576</v>
      </c>
      <c r="B667" t="s">
        <v>594</v>
      </c>
      <c r="C667">
        <v>48</v>
      </c>
      <c r="E667" s="12"/>
      <c r="F667" s="11">
        <f>RITable[[#This Row],[Price (1y)]]/RITable[[#This Row],[Ratio]]</f>
        <v>0</v>
      </c>
      <c r="H667" s="12"/>
      <c r="I667" s="10">
        <f>RITable[[#This Row],[Price (3y)]]/RITable[[#This Row],[Ratio]] / 3</f>
        <v>0</v>
      </c>
    </row>
    <row r="668" spans="1:9" x14ac:dyDescent="0.3">
      <c r="A668" t="s">
        <v>1146</v>
      </c>
      <c r="B668" t="s">
        <v>1147</v>
      </c>
      <c r="C668">
        <v>1</v>
      </c>
      <c r="E668" s="12"/>
      <c r="F668" s="11">
        <f>RITable[[#This Row],[Price (1y)]]/RITable[[#This Row],[Ratio]]</f>
        <v>0</v>
      </c>
      <c r="H668" s="12"/>
      <c r="I668" s="10">
        <f>RITable[[#This Row],[Price (3y)]]/RITable[[#This Row],[Ratio]] / 3</f>
        <v>0</v>
      </c>
    </row>
    <row r="669" spans="1:9" x14ac:dyDescent="0.3">
      <c r="A669" t="s">
        <v>597</v>
      </c>
      <c r="B669" t="s">
        <v>598</v>
      </c>
      <c r="C669">
        <v>1</v>
      </c>
      <c r="E669" s="12"/>
      <c r="F669" s="11">
        <f>RITable[[#This Row],[Price (1y)]]/RITable[[#This Row],[Ratio]]</f>
        <v>0</v>
      </c>
      <c r="H669" s="12"/>
      <c r="I669" s="10">
        <f>RITable[[#This Row],[Price (3y)]]/RITable[[#This Row],[Ratio]] / 3</f>
        <v>0</v>
      </c>
    </row>
    <row r="670" spans="1:9" x14ac:dyDescent="0.3">
      <c r="A670" t="s">
        <v>597</v>
      </c>
      <c r="B670" t="s">
        <v>599</v>
      </c>
      <c r="C670">
        <v>2</v>
      </c>
      <c r="E670" s="12"/>
      <c r="F670" s="11">
        <f>RITable[[#This Row],[Price (1y)]]/RITable[[#This Row],[Ratio]]</f>
        <v>0</v>
      </c>
      <c r="H670" s="12"/>
      <c r="I670" s="10">
        <f>RITable[[#This Row],[Price (3y)]]/RITable[[#This Row],[Ratio]] / 3</f>
        <v>0</v>
      </c>
    </row>
    <row r="671" spans="1:9" x14ac:dyDescent="0.3">
      <c r="A671" t="s">
        <v>597</v>
      </c>
      <c r="B671" t="s">
        <v>600</v>
      </c>
      <c r="C671">
        <v>4</v>
      </c>
      <c r="E671" s="12"/>
      <c r="F671" s="11">
        <f>RITable[[#This Row],[Price (1y)]]/RITable[[#This Row],[Ratio]]</f>
        <v>0</v>
      </c>
      <c r="H671" s="12"/>
      <c r="I671" s="10">
        <f>RITable[[#This Row],[Price (3y)]]/RITable[[#This Row],[Ratio]] / 3</f>
        <v>0</v>
      </c>
    </row>
    <row r="672" spans="1:9" x14ac:dyDescent="0.3">
      <c r="A672" t="s">
        <v>597</v>
      </c>
      <c r="B672" t="s">
        <v>601</v>
      </c>
      <c r="C672">
        <v>8</v>
      </c>
      <c r="E672" s="12"/>
      <c r="F672" s="11">
        <f>RITable[[#This Row],[Price (1y)]]/RITable[[#This Row],[Ratio]]</f>
        <v>0</v>
      </c>
      <c r="H672" s="12"/>
      <c r="I672" s="10">
        <f>RITable[[#This Row],[Price (3y)]]/RITable[[#This Row],[Ratio]] / 3</f>
        <v>0</v>
      </c>
    </row>
    <row r="673" spans="1:9" x14ac:dyDescent="0.3">
      <c r="A673" t="s">
        <v>597</v>
      </c>
      <c r="B673" t="s">
        <v>602</v>
      </c>
      <c r="C673">
        <v>10</v>
      </c>
      <c r="E673" s="12"/>
      <c r="F673" s="11">
        <f>RITable[[#This Row],[Price (1y)]]/RITable[[#This Row],[Ratio]]</f>
        <v>0</v>
      </c>
      <c r="H673" s="12"/>
      <c r="I673" s="10">
        <f>RITable[[#This Row],[Price (3y)]]/RITable[[#This Row],[Ratio]] / 3</f>
        <v>0</v>
      </c>
    </row>
    <row r="674" spans="1:9" x14ac:dyDescent="0.3">
      <c r="A674" t="s">
        <v>597</v>
      </c>
      <c r="B674" t="s">
        <v>603</v>
      </c>
      <c r="C674">
        <v>16</v>
      </c>
      <c r="E674" s="12"/>
      <c r="F674" s="11">
        <f>RITable[[#This Row],[Price (1y)]]/RITable[[#This Row],[Ratio]]</f>
        <v>0</v>
      </c>
      <c r="H674" s="12"/>
      <c r="I674" s="10">
        <f>RITable[[#This Row],[Price (3y)]]/RITable[[#This Row],[Ratio]] / 3</f>
        <v>0</v>
      </c>
    </row>
    <row r="675" spans="1:9" x14ac:dyDescent="0.3">
      <c r="A675" t="s">
        <v>597</v>
      </c>
      <c r="B675" t="s">
        <v>604</v>
      </c>
      <c r="C675">
        <v>24</v>
      </c>
      <c r="E675" s="12"/>
      <c r="F675" s="11">
        <f>RITable[[#This Row],[Price (1y)]]/RITable[[#This Row],[Ratio]]</f>
        <v>0</v>
      </c>
      <c r="H675" s="12"/>
      <c r="I675" s="10">
        <f>RITable[[#This Row],[Price (3y)]]/RITable[[#This Row],[Ratio]] / 3</f>
        <v>0</v>
      </c>
    </row>
    <row r="676" spans="1:9" x14ac:dyDescent="0.3">
      <c r="A676" t="s">
        <v>597</v>
      </c>
      <c r="B676" t="s">
        <v>605</v>
      </c>
      <c r="C676">
        <v>28.8</v>
      </c>
      <c r="E676" s="12"/>
      <c r="F676" s="11">
        <f>RITable[[#This Row],[Price (1y)]]/RITable[[#This Row],[Ratio]]</f>
        <v>0</v>
      </c>
      <c r="H676" s="12"/>
      <c r="I676" s="10">
        <f>RITable[[#This Row],[Price (3y)]]/RITable[[#This Row],[Ratio]] / 3</f>
        <v>0</v>
      </c>
    </row>
    <row r="677" spans="1:9" x14ac:dyDescent="0.3">
      <c r="A677" t="s">
        <v>606</v>
      </c>
      <c r="B677" t="s">
        <v>607</v>
      </c>
      <c r="C677">
        <v>1</v>
      </c>
      <c r="E677" s="12"/>
      <c r="F677" s="11">
        <f>RITable[[#This Row],[Price (1y)]]/RITable[[#This Row],[Ratio]]</f>
        <v>0</v>
      </c>
      <c r="H677" s="12"/>
      <c r="I677" s="10">
        <f>RITable[[#This Row],[Price (3y)]]/RITable[[#This Row],[Ratio]] / 3</f>
        <v>0</v>
      </c>
    </row>
    <row r="678" spans="1:9" x14ac:dyDescent="0.3">
      <c r="A678" t="s">
        <v>606</v>
      </c>
      <c r="B678" t="s">
        <v>608</v>
      </c>
      <c r="C678">
        <v>2</v>
      </c>
      <c r="E678" s="12"/>
      <c r="F678" s="11">
        <f>RITable[[#This Row],[Price (1y)]]/RITable[[#This Row],[Ratio]]</f>
        <v>0</v>
      </c>
      <c r="H678" s="12"/>
      <c r="I678" s="10">
        <f>RITable[[#This Row],[Price (3y)]]/RITable[[#This Row],[Ratio]] / 3</f>
        <v>0</v>
      </c>
    </row>
    <row r="679" spans="1:9" x14ac:dyDescent="0.3">
      <c r="A679" t="s">
        <v>606</v>
      </c>
      <c r="B679" t="s">
        <v>609</v>
      </c>
      <c r="C679">
        <v>4</v>
      </c>
      <c r="E679" s="12"/>
      <c r="F679" s="11">
        <f>RITable[[#This Row],[Price (1y)]]/RITable[[#This Row],[Ratio]]</f>
        <v>0</v>
      </c>
      <c r="H679" s="12"/>
      <c r="I679" s="10">
        <f>RITable[[#This Row],[Price (3y)]]/RITable[[#This Row],[Ratio]] / 3</f>
        <v>0</v>
      </c>
    </row>
    <row r="680" spans="1:9" x14ac:dyDescent="0.3">
      <c r="A680" t="s">
        <v>606</v>
      </c>
      <c r="B680" t="s">
        <v>610</v>
      </c>
      <c r="C680">
        <v>8</v>
      </c>
      <c r="E680" s="12"/>
      <c r="F680" s="11">
        <f>RITable[[#This Row],[Price (1y)]]/RITable[[#This Row],[Ratio]]</f>
        <v>0</v>
      </c>
      <c r="H680" s="12"/>
      <c r="I680" s="10">
        <f>RITable[[#This Row],[Price (3y)]]/RITable[[#This Row],[Ratio]] / 3</f>
        <v>0</v>
      </c>
    </row>
    <row r="681" spans="1:9" x14ac:dyDescent="0.3">
      <c r="A681" t="s">
        <v>606</v>
      </c>
      <c r="B681" t="s">
        <v>611</v>
      </c>
      <c r="C681">
        <v>10</v>
      </c>
      <c r="E681" s="12"/>
      <c r="F681" s="11">
        <f>RITable[[#This Row],[Price (1y)]]/RITable[[#This Row],[Ratio]]</f>
        <v>0</v>
      </c>
      <c r="H681" s="12"/>
      <c r="I681" s="10">
        <f>RITable[[#This Row],[Price (3y)]]/RITable[[#This Row],[Ratio]] / 3</f>
        <v>0</v>
      </c>
    </row>
    <row r="682" spans="1:9" x14ac:dyDescent="0.3">
      <c r="A682" t="s">
        <v>606</v>
      </c>
      <c r="B682" t="s">
        <v>612</v>
      </c>
      <c r="C682">
        <v>16</v>
      </c>
      <c r="E682" s="12"/>
      <c r="F682" s="11">
        <f>RITable[[#This Row],[Price (1y)]]/RITable[[#This Row],[Ratio]]</f>
        <v>0</v>
      </c>
      <c r="H682" s="12"/>
      <c r="I682" s="10">
        <f>RITable[[#This Row],[Price (3y)]]/RITable[[#This Row],[Ratio]] / 3</f>
        <v>0</v>
      </c>
    </row>
    <row r="683" spans="1:9" x14ac:dyDescent="0.3">
      <c r="A683" t="s">
        <v>606</v>
      </c>
      <c r="B683" t="s">
        <v>613</v>
      </c>
      <c r="C683">
        <v>24</v>
      </c>
      <c r="E683" s="12"/>
      <c r="F683" s="11">
        <f>RITable[[#This Row],[Price (1y)]]/RITable[[#This Row],[Ratio]]</f>
        <v>0</v>
      </c>
      <c r="H683" s="12"/>
      <c r="I683" s="10">
        <f>RITable[[#This Row],[Price (3y)]]/RITable[[#This Row],[Ratio]] / 3</f>
        <v>0</v>
      </c>
    </row>
    <row r="684" spans="1:9" x14ac:dyDescent="0.3">
      <c r="A684" t="s">
        <v>606</v>
      </c>
      <c r="B684" t="s">
        <v>614</v>
      </c>
      <c r="C684">
        <v>32</v>
      </c>
      <c r="E684" s="12"/>
      <c r="F684" s="11">
        <f>RITable[[#This Row],[Price (1y)]]/RITable[[#This Row],[Ratio]]</f>
        <v>0</v>
      </c>
      <c r="H684" s="12"/>
      <c r="I684" s="10">
        <f>RITable[[#This Row],[Price (3y)]]/RITable[[#This Row],[Ratio]] / 3</f>
        <v>0</v>
      </c>
    </row>
    <row r="685" spans="1:9" x14ac:dyDescent="0.3">
      <c r="A685" t="s">
        <v>615</v>
      </c>
      <c r="B685" t="s">
        <v>616</v>
      </c>
      <c r="C685">
        <v>1</v>
      </c>
      <c r="E685" s="12"/>
      <c r="F685" s="11">
        <f>RITable[[#This Row],[Price (1y)]]/RITable[[#This Row],[Ratio]]</f>
        <v>0</v>
      </c>
      <c r="H685" s="12"/>
      <c r="I685" s="10">
        <f>RITable[[#This Row],[Price (3y)]]/RITable[[#This Row],[Ratio]] / 3</f>
        <v>0</v>
      </c>
    </row>
    <row r="686" spans="1:9" x14ac:dyDescent="0.3">
      <c r="A686" t="s">
        <v>615</v>
      </c>
      <c r="B686" t="s">
        <v>617</v>
      </c>
      <c r="C686">
        <v>2</v>
      </c>
      <c r="E686" s="12"/>
      <c r="F686" s="11">
        <f>RITable[[#This Row],[Price (1y)]]/RITable[[#This Row],[Ratio]]</f>
        <v>0</v>
      </c>
      <c r="H686" s="12"/>
      <c r="I686" s="10">
        <f>RITable[[#This Row],[Price (3y)]]/RITable[[#This Row],[Ratio]] / 3</f>
        <v>0</v>
      </c>
    </row>
    <row r="687" spans="1:9" x14ac:dyDescent="0.3">
      <c r="A687" t="s">
        <v>615</v>
      </c>
      <c r="B687" t="s">
        <v>618</v>
      </c>
      <c r="C687">
        <v>4</v>
      </c>
      <c r="E687" s="12"/>
      <c r="F687" s="11">
        <f>RITable[[#This Row],[Price (1y)]]/RITable[[#This Row],[Ratio]]</f>
        <v>0</v>
      </c>
      <c r="H687" s="12"/>
      <c r="I687" s="10">
        <f>RITable[[#This Row],[Price (3y)]]/RITable[[#This Row],[Ratio]] / 3</f>
        <v>0</v>
      </c>
    </row>
    <row r="688" spans="1:9" x14ac:dyDescent="0.3">
      <c r="A688" t="s">
        <v>615</v>
      </c>
      <c r="B688" t="s">
        <v>619</v>
      </c>
      <c r="C688">
        <v>8</v>
      </c>
      <c r="E688" s="12"/>
      <c r="F688" s="11">
        <f>RITable[[#This Row],[Price (1y)]]/RITable[[#This Row],[Ratio]]</f>
        <v>0</v>
      </c>
      <c r="H688" s="12"/>
      <c r="I688" s="10">
        <f>RITable[[#This Row],[Price (3y)]]/RITable[[#This Row],[Ratio]] / 3</f>
        <v>0</v>
      </c>
    </row>
    <row r="689" spans="1:9" x14ac:dyDescent="0.3">
      <c r="A689" t="s">
        <v>615</v>
      </c>
      <c r="B689" t="s">
        <v>620</v>
      </c>
      <c r="C689">
        <v>10</v>
      </c>
      <c r="E689" s="12"/>
      <c r="F689" s="11">
        <f>RITable[[#This Row],[Price (1y)]]/RITable[[#This Row],[Ratio]]</f>
        <v>0</v>
      </c>
      <c r="H689" s="12"/>
      <c r="I689" s="10">
        <f>RITable[[#This Row],[Price (3y)]]/RITable[[#This Row],[Ratio]] / 3</f>
        <v>0</v>
      </c>
    </row>
    <row r="690" spans="1:9" x14ac:dyDescent="0.3">
      <c r="A690" t="s">
        <v>615</v>
      </c>
      <c r="B690" t="s">
        <v>621</v>
      </c>
      <c r="C690">
        <v>16</v>
      </c>
      <c r="E690" s="12"/>
      <c r="F690" s="11">
        <f>RITable[[#This Row],[Price (1y)]]/RITable[[#This Row],[Ratio]]</f>
        <v>0</v>
      </c>
      <c r="H690" s="12"/>
      <c r="I690" s="10">
        <f>RITable[[#This Row],[Price (3y)]]/RITable[[#This Row],[Ratio]] / 3</f>
        <v>0</v>
      </c>
    </row>
    <row r="691" spans="1:9" x14ac:dyDescent="0.3">
      <c r="A691" t="s">
        <v>615</v>
      </c>
      <c r="B691" t="s">
        <v>622</v>
      </c>
      <c r="C691">
        <v>24</v>
      </c>
      <c r="E691" s="12"/>
      <c r="F691" s="11">
        <f>RITable[[#This Row],[Price (1y)]]/RITable[[#This Row],[Ratio]]</f>
        <v>0</v>
      </c>
      <c r="H691" s="12"/>
      <c r="I691" s="10">
        <f>RITable[[#This Row],[Price (3y)]]/RITable[[#This Row],[Ratio]] / 3</f>
        <v>0</v>
      </c>
    </row>
    <row r="692" spans="1:9" x14ac:dyDescent="0.3">
      <c r="A692" t="s">
        <v>615</v>
      </c>
      <c r="B692" t="s">
        <v>623</v>
      </c>
      <c r="C692">
        <v>32</v>
      </c>
      <c r="E692" s="12"/>
      <c r="F692" s="11">
        <f>RITable[[#This Row],[Price (1y)]]/RITable[[#This Row],[Ratio]]</f>
        <v>0</v>
      </c>
      <c r="H692" s="12"/>
      <c r="I692" s="10">
        <f>RITable[[#This Row],[Price (3y)]]/RITable[[#This Row],[Ratio]] / 3</f>
        <v>0</v>
      </c>
    </row>
    <row r="693" spans="1:9" x14ac:dyDescent="0.3">
      <c r="A693" t="s">
        <v>615</v>
      </c>
      <c r="B693" t="s">
        <v>624</v>
      </c>
      <c r="C693">
        <v>48</v>
      </c>
      <c r="E693" s="12"/>
      <c r="F693" s="11">
        <f>RITable[[#This Row],[Price (1y)]]/RITable[[#This Row],[Ratio]]</f>
        <v>0</v>
      </c>
      <c r="H693" s="12"/>
      <c r="I693" s="10">
        <f>RITable[[#This Row],[Price (3y)]]/RITable[[#This Row],[Ratio]] / 3</f>
        <v>0</v>
      </c>
    </row>
    <row r="694" spans="1:9" x14ac:dyDescent="0.3">
      <c r="A694" t="s">
        <v>615</v>
      </c>
      <c r="B694" t="s">
        <v>625</v>
      </c>
      <c r="C694">
        <v>52</v>
      </c>
      <c r="E694" s="12"/>
      <c r="F694" s="11">
        <f>RITable[[#This Row],[Price (1y)]]/RITable[[#This Row],[Ratio]]</f>
        <v>0</v>
      </c>
      <c r="H694" s="12"/>
      <c r="I694" s="10">
        <f>RITable[[#This Row],[Price (3y)]]/RITable[[#This Row],[Ratio]] / 3</f>
        <v>0</v>
      </c>
    </row>
    <row r="695" spans="1:9" x14ac:dyDescent="0.3">
      <c r="A695" t="s">
        <v>46</v>
      </c>
      <c r="B695" t="s">
        <v>626</v>
      </c>
      <c r="C695">
        <v>1</v>
      </c>
      <c r="E695" s="12"/>
      <c r="F695" s="11">
        <f>RITable[[#This Row],[Price (1y)]]/RITable[[#This Row],[Ratio]]</f>
        <v>0</v>
      </c>
      <c r="H695" s="12"/>
      <c r="I695" s="10">
        <f>RITable[[#This Row],[Price (3y)]]/RITable[[#This Row],[Ratio]] / 3</f>
        <v>0</v>
      </c>
    </row>
    <row r="696" spans="1:9" x14ac:dyDescent="0.3">
      <c r="A696" t="s">
        <v>46</v>
      </c>
      <c r="B696" t="s">
        <v>627</v>
      </c>
      <c r="C696">
        <v>2</v>
      </c>
      <c r="E696" s="12"/>
      <c r="F696" s="11">
        <f>RITable[[#This Row],[Price (1y)]]/RITable[[#This Row],[Ratio]]</f>
        <v>0</v>
      </c>
      <c r="H696" s="12"/>
      <c r="I696" s="10">
        <f>RITable[[#This Row],[Price (3y)]]/RITable[[#This Row],[Ratio]] / 3</f>
        <v>0</v>
      </c>
    </row>
    <row r="697" spans="1:9" x14ac:dyDescent="0.3">
      <c r="A697" t="s">
        <v>46</v>
      </c>
      <c r="B697" t="s">
        <v>628</v>
      </c>
      <c r="C697">
        <v>4</v>
      </c>
      <c r="E697" s="12"/>
      <c r="F697" s="11">
        <f>RITable[[#This Row],[Price (1y)]]/RITable[[#This Row],[Ratio]]</f>
        <v>0</v>
      </c>
      <c r="H697" s="12"/>
      <c r="I697" s="10">
        <f>RITable[[#This Row],[Price (3y)]]/RITable[[#This Row],[Ratio]] / 3</f>
        <v>0</v>
      </c>
    </row>
    <row r="698" spans="1:9" x14ac:dyDescent="0.3">
      <c r="A698" t="s">
        <v>46</v>
      </c>
      <c r="B698" t="s">
        <v>629</v>
      </c>
      <c r="C698">
        <v>8</v>
      </c>
      <c r="E698" s="12"/>
      <c r="F698" s="11">
        <f>RITable[[#This Row],[Price (1y)]]/RITable[[#This Row],[Ratio]]</f>
        <v>0</v>
      </c>
      <c r="H698" s="12"/>
      <c r="I698" s="10">
        <f>RITable[[#This Row],[Price (3y)]]/RITable[[#This Row],[Ratio]] / 3</f>
        <v>0</v>
      </c>
    </row>
    <row r="699" spans="1:9" x14ac:dyDescent="0.3">
      <c r="A699" t="s">
        <v>46</v>
      </c>
      <c r="B699" t="s">
        <v>630</v>
      </c>
      <c r="C699">
        <v>16</v>
      </c>
      <c r="E699" s="12"/>
      <c r="F699" s="11">
        <f>RITable[[#This Row],[Price (1y)]]/RITable[[#This Row],[Ratio]]</f>
        <v>0</v>
      </c>
      <c r="H699" s="12"/>
      <c r="I699" s="10">
        <f>RITable[[#This Row],[Price (3y)]]/RITable[[#This Row],[Ratio]] / 3</f>
        <v>0</v>
      </c>
    </row>
    <row r="700" spans="1:9" x14ac:dyDescent="0.3">
      <c r="A700" t="s">
        <v>631</v>
      </c>
      <c r="B700" t="s">
        <v>632</v>
      </c>
      <c r="C700">
        <v>1</v>
      </c>
      <c r="E700" s="12"/>
      <c r="F700" s="11">
        <f>RITable[[#This Row],[Price (1y)]]/RITable[[#This Row],[Ratio]]</f>
        <v>0</v>
      </c>
      <c r="H700" s="12"/>
      <c r="I700" s="10">
        <f>RITable[[#This Row],[Price (3y)]]/RITable[[#This Row],[Ratio]] / 3</f>
        <v>0</v>
      </c>
    </row>
    <row r="701" spans="1:9" x14ac:dyDescent="0.3">
      <c r="A701" t="s">
        <v>631</v>
      </c>
      <c r="B701" t="s">
        <v>633</v>
      </c>
      <c r="C701">
        <v>2</v>
      </c>
      <c r="E701" s="12"/>
      <c r="F701" s="11">
        <f>RITable[[#This Row],[Price (1y)]]/RITable[[#This Row],[Ratio]]</f>
        <v>0</v>
      </c>
      <c r="H701" s="12"/>
      <c r="I701" s="10">
        <f>RITable[[#This Row],[Price (3y)]]/RITable[[#This Row],[Ratio]] / 3</f>
        <v>0</v>
      </c>
    </row>
    <row r="702" spans="1:9" x14ac:dyDescent="0.3">
      <c r="A702" t="s">
        <v>631</v>
      </c>
      <c r="B702" t="s">
        <v>634</v>
      </c>
      <c r="C702">
        <v>4</v>
      </c>
      <c r="E702" s="12"/>
      <c r="F702" s="11">
        <f>RITable[[#This Row],[Price (1y)]]/RITable[[#This Row],[Ratio]]</f>
        <v>0</v>
      </c>
      <c r="H702" s="12"/>
      <c r="I702" s="10">
        <f>RITable[[#This Row],[Price (3y)]]/RITable[[#This Row],[Ratio]] / 3</f>
        <v>0</v>
      </c>
    </row>
    <row r="703" spans="1:9" x14ac:dyDescent="0.3">
      <c r="A703" t="s">
        <v>631</v>
      </c>
      <c r="B703" t="s">
        <v>635</v>
      </c>
      <c r="C703">
        <v>8</v>
      </c>
      <c r="E703" s="12"/>
      <c r="F703" s="11">
        <f>RITable[[#This Row],[Price (1y)]]/RITable[[#This Row],[Ratio]]</f>
        <v>0</v>
      </c>
      <c r="H703" s="12"/>
      <c r="I703" s="10">
        <f>RITable[[#This Row],[Price (3y)]]/RITable[[#This Row],[Ratio]] / 3</f>
        <v>0</v>
      </c>
    </row>
    <row r="704" spans="1:9" x14ac:dyDescent="0.3">
      <c r="A704" t="s">
        <v>631</v>
      </c>
      <c r="B704" t="s">
        <v>636</v>
      </c>
      <c r="C704">
        <v>16</v>
      </c>
      <c r="E704" s="12"/>
      <c r="F704" s="11">
        <f>RITable[[#This Row],[Price (1y)]]/RITable[[#This Row],[Ratio]]</f>
        <v>0</v>
      </c>
      <c r="H704" s="12"/>
      <c r="I704" s="10">
        <f>RITable[[#This Row],[Price (3y)]]/RITable[[#This Row],[Ratio]] / 3</f>
        <v>0</v>
      </c>
    </row>
    <row r="705" spans="1:9" x14ac:dyDescent="0.3">
      <c r="A705" t="s">
        <v>47</v>
      </c>
      <c r="B705" t="s">
        <v>637</v>
      </c>
      <c r="C705">
        <v>1</v>
      </c>
      <c r="E705" s="12"/>
      <c r="F705" s="11">
        <f>RITable[[#This Row],[Price (1y)]]/RITable[[#This Row],[Ratio]]</f>
        <v>0</v>
      </c>
      <c r="H705" s="12"/>
      <c r="I705" s="10">
        <f>RITable[[#This Row],[Price (3y)]]/RITable[[#This Row],[Ratio]] / 3</f>
        <v>0</v>
      </c>
    </row>
    <row r="706" spans="1:9" x14ac:dyDescent="0.3">
      <c r="A706" t="s">
        <v>47</v>
      </c>
      <c r="B706" t="s">
        <v>638</v>
      </c>
      <c r="C706">
        <v>2</v>
      </c>
      <c r="E706" s="12"/>
      <c r="F706" s="11">
        <f>RITable[[#This Row],[Price (1y)]]/RITable[[#This Row],[Ratio]]</f>
        <v>0</v>
      </c>
      <c r="H706" s="12"/>
      <c r="I706" s="10">
        <f>RITable[[#This Row],[Price (3y)]]/RITable[[#This Row],[Ratio]] / 3</f>
        <v>0</v>
      </c>
    </row>
    <row r="707" spans="1:9" x14ac:dyDescent="0.3">
      <c r="A707" t="s">
        <v>47</v>
      </c>
      <c r="B707" t="s">
        <v>639</v>
      </c>
      <c r="C707">
        <v>4</v>
      </c>
      <c r="E707" s="12"/>
      <c r="F707" s="11">
        <f>RITable[[#This Row],[Price (1y)]]/RITable[[#This Row],[Ratio]]</f>
        <v>0</v>
      </c>
      <c r="H707" s="12"/>
      <c r="I707" s="10">
        <f>RITable[[#This Row],[Price (3y)]]/RITable[[#This Row],[Ratio]] / 3</f>
        <v>0</v>
      </c>
    </row>
    <row r="708" spans="1:9" x14ac:dyDescent="0.3">
      <c r="A708" t="s">
        <v>47</v>
      </c>
      <c r="B708" t="s">
        <v>640</v>
      </c>
      <c r="C708">
        <v>8</v>
      </c>
      <c r="E708" s="12"/>
      <c r="F708" s="11">
        <f>RITable[[#This Row],[Price (1y)]]/RITable[[#This Row],[Ratio]]</f>
        <v>0</v>
      </c>
      <c r="H708" s="12"/>
      <c r="I708" s="10">
        <f>RITable[[#This Row],[Price (3y)]]/RITable[[#This Row],[Ratio]] / 3</f>
        <v>0</v>
      </c>
    </row>
    <row r="709" spans="1:9" x14ac:dyDescent="0.3">
      <c r="A709" t="s">
        <v>47</v>
      </c>
      <c r="B709" t="s">
        <v>641</v>
      </c>
      <c r="C709">
        <v>16</v>
      </c>
      <c r="E709" s="12"/>
      <c r="F709" s="11">
        <f>RITable[[#This Row],[Price (1y)]]/RITable[[#This Row],[Ratio]]</f>
        <v>0</v>
      </c>
      <c r="H709" s="12"/>
      <c r="I709" s="10">
        <f>RITable[[#This Row],[Price (3y)]]/RITable[[#This Row],[Ratio]] / 3</f>
        <v>0</v>
      </c>
    </row>
    <row r="710" spans="1:9" x14ac:dyDescent="0.3">
      <c r="A710" t="s">
        <v>47</v>
      </c>
      <c r="B710" t="s">
        <v>642</v>
      </c>
      <c r="C710">
        <v>24</v>
      </c>
      <c r="E710" s="12"/>
      <c r="F710" s="11">
        <f>RITable[[#This Row],[Price (1y)]]/RITable[[#This Row],[Ratio]]</f>
        <v>0</v>
      </c>
      <c r="H710" s="12"/>
      <c r="I710" s="10">
        <f>RITable[[#This Row],[Price (3y)]]/RITable[[#This Row],[Ratio]] / 3</f>
        <v>0</v>
      </c>
    </row>
    <row r="711" spans="1:9" x14ac:dyDescent="0.3">
      <c r="A711" t="s">
        <v>47</v>
      </c>
      <c r="B711" t="s">
        <v>643</v>
      </c>
      <c r="C711">
        <v>32</v>
      </c>
      <c r="E711" s="12"/>
      <c r="F711" s="11">
        <f>RITable[[#This Row],[Price (1y)]]/RITable[[#This Row],[Ratio]]</f>
        <v>0</v>
      </c>
      <c r="H711" s="12"/>
      <c r="I711" s="10">
        <f>RITable[[#This Row],[Price (3y)]]/RITable[[#This Row],[Ratio]] / 3</f>
        <v>0</v>
      </c>
    </row>
    <row r="712" spans="1:9" x14ac:dyDescent="0.3">
      <c r="A712" t="s">
        <v>47</v>
      </c>
      <c r="B712" t="s">
        <v>645</v>
      </c>
      <c r="C712">
        <v>36</v>
      </c>
      <c r="E712" s="12"/>
      <c r="F712" s="11">
        <f>RITable[[#This Row],[Price (1y)]]/RITable[[#This Row],[Ratio]]</f>
        <v>0</v>
      </c>
      <c r="H712" s="12"/>
      <c r="I712" s="10">
        <f>RITable[[#This Row],[Price (3y)]]/RITable[[#This Row],[Ratio]] / 3</f>
        <v>0</v>
      </c>
    </row>
    <row r="713" spans="1:9" x14ac:dyDescent="0.3">
      <c r="A713" t="s">
        <v>47</v>
      </c>
      <c r="B713" t="s">
        <v>644</v>
      </c>
      <c r="C713">
        <v>36</v>
      </c>
      <c r="E713" s="12"/>
      <c r="F713" s="11">
        <f>RITable[[#This Row],[Price (1y)]]/RITable[[#This Row],[Ratio]]</f>
        <v>0</v>
      </c>
      <c r="H713" s="12"/>
      <c r="I713" s="10">
        <f>RITable[[#This Row],[Price (3y)]]/RITable[[#This Row],[Ratio]] / 3</f>
        <v>0</v>
      </c>
    </row>
    <row r="714" spans="1:9" x14ac:dyDescent="0.3">
      <c r="A714" t="s">
        <v>646</v>
      </c>
      <c r="B714" t="s">
        <v>647</v>
      </c>
      <c r="C714">
        <v>1</v>
      </c>
      <c r="E714" s="12"/>
      <c r="F714" s="11">
        <f>RITable[[#This Row],[Price (1y)]]/RITable[[#This Row],[Ratio]]</f>
        <v>0</v>
      </c>
      <c r="H714" s="12"/>
      <c r="I714" s="10">
        <f>RITable[[#This Row],[Price (3y)]]/RITable[[#This Row],[Ratio]] / 3</f>
        <v>0</v>
      </c>
    </row>
    <row r="715" spans="1:9" x14ac:dyDescent="0.3">
      <c r="A715" t="s">
        <v>646</v>
      </c>
      <c r="B715" t="s">
        <v>648</v>
      </c>
      <c r="C715">
        <v>1.2777777779999999</v>
      </c>
      <c r="E715" s="12"/>
      <c r="F715" s="11">
        <f>RITable[[#This Row],[Price (1y)]]/RITable[[#This Row],[Ratio]]</f>
        <v>0</v>
      </c>
      <c r="H715" s="12"/>
      <c r="I715" s="10">
        <f>RITable[[#This Row],[Price (3y)]]/RITable[[#This Row],[Ratio]] / 3</f>
        <v>0</v>
      </c>
    </row>
    <row r="716" spans="1:9" x14ac:dyDescent="0.3">
      <c r="A716" t="s">
        <v>646</v>
      </c>
      <c r="B716" t="s">
        <v>649</v>
      </c>
      <c r="C716">
        <v>1.388888889</v>
      </c>
      <c r="E716" s="12"/>
      <c r="F716" s="11">
        <f>RITable[[#This Row],[Price (1y)]]/RITable[[#This Row],[Ratio]]</f>
        <v>0</v>
      </c>
      <c r="H716" s="12"/>
      <c r="I716" s="10">
        <f>RITable[[#This Row],[Price (3y)]]/RITable[[#This Row],[Ratio]] / 3</f>
        <v>0</v>
      </c>
    </row>
    <row r="717" spans="1:9" x14ac:dyDescent="0.3">
      <c r="A717" t="s">
        <v>1148</v>
      </c>
      <c r="B717" t="s">
        <v>1149</v>
      </c>
      <c r="C717">
        <v>1</v>
      </c>
      <c r="E717" s="12"/>
      <c r="F717" s="11">
        <f>RITable[[#This Row],[Price (1y)]]/RITable[[#This Row],[Ratio]]</f>
        <v>0</v>
      </c>
      <c r="H717" s="12"/>
      <c r="I717" s="10">
        <f>RITable[[#This Row],[Price (3y)]]/RITable[[#This Row],[Ratio]] / 3</f>
        <v>0</v>
      </c>
    </row>
    <row r="718" spans="1:9" x14ac:dyDescent="0.3">
      <c r="A718" t="s">
        <v>650</v>
      </c>
      <c r="B718" t="s">
        <v>651</v>
      </c>
      <c r="C718">
        <v>1</v>
      </c>
      <c r="E718" s="12"/>
      <c r="F718" s="11">
        <f>RITable[[#This Row],[Price (1y)]]/RITable[[#This Row],[Ratio]]</f>
        <v>0</v>
      </c>
      <c r="H718" s="12"/>
      <c r="I718" s="10">
        <f>RITable[[#This Row],[Price (3y)]]/RITable[[#This Row],[Ratio]] / 3</f>
        <v>0</v>
      </c>
    </row>
    <row r="719" spans="1:9" x14ac:dyDescent="0.3">
      <c r="A719" t="s">
        <v>650</v>
      </c>
      <c r="B719" t="s">
        <v>652</v>
      </c>
      <c r="C719">
        <v>3</v>
      </c>
      <c r="E719" s="12"/>
      <c r="F719" s="11">
        <f>RITable[[#This Row],[Price (1y)]]/RITable[[#This Row],[Ratio]]</f>
        <v>0</v>
      </c>
      <c r="H719" s="12"/>
      <c r="I719" s="10">
        <f>RITable[[#This Row],[Price (3y)]]/RITable[[#This Row],[Ratio]] / 3</f>
        <v>0</v>
      </c>
    </row>
    <row r="720" spans="1:9" x14ac:dyDescent="0.3">
      <c r="A720" t="s">
        <v>650</v>
      </c>
      <c r="B720" t="s">
        <v>653</v>
      </c>
      <c r="C720">
        <v>6</v>
      </c>
      <c r="E720" s="12"/>
      <c r="F720" s="11">
        <f>RITable[[#This Row],[Price (1y)]]/RITable[[#This Row],[Ratio]]</f>
        <v>0</v>
      </c>
      <c r="H720" s="12"/>
      <c r="I720" s="10">
        <f>RITable[[#This Row],[Price (3y)]]/RITable[[#This Row],[Ratio]] / 3</f>
        <v>0</v>
      </c>
    </row>
    <row r="721" spans="1:9" x14ac:dyDescent="0.3">
      <c r="A721" t="s">
        <v>650</v>
      </c>
      <c r="B721" t="s">
        <v>654</v>
      </c>
      <c r="C721">
        <v>9</v>
      </c>
      <c r="E721" s="12"/>
      <c r="F721" s="11">
        <f>RITable[[#This Row],[Price (1y)]]/RITable[[#This Row],[Ratio]]</f>
        <v>0</v>
      </c>
      <c r="H721" s="12"/>
      <c r="I721" s="10">
        <f>RITable[[#This Row],[Price (3y)]]/RITable[[#This Row],[Ratio]] / 3</f>
        <v>0</v>
      </c>
    </row>
    <row r="722" spans="1:9" x14ac:dyDescent="0.3">
      <c r="A722" t="s">
        <v>650</v>
      </c>
      <c r="B722" t="s">
        <v>655</v>
      </c>
      <c r="C722">
        <v>12</v>
      </c>
      <c r="E722" s="12"/>
      <c r="F722" s="11">
        <f>RITable[[#This Row],[Price (1y)]]/RITable[[#This Row],[Ratio]]</f>
        <v>0</v>
      </c>
      <c r="H722" s="12"/>
      <c r="I722" s="10">
        <f>RITable[[#This Row],[Price (3y)]]/RITable[[#This Row],[Ratio]] / 3</f>
        <v>0</v>
      </c>
    </row>
    <row r="723" spans="1:9" x14ac:dyDescent="0.3">
      <c r="A723" t="s">
        <v>1150</v>
      </c>
      <c r="B723" t="s">
        <v>1151</v>
      </c>
      <c r="C723">
        <v>1</v>
      </c>
      <c r="E723" s="12"/>
      <c r="F723" s="11">
        <f>RITable[[#This Row],[Price (1y)]]/RITable[[#This Row],[Ratio]]</f>
        <v>0</v>
      </c>
      <c r="H723" s="12"/>
      <c r="I723" s="10">
        <f>RITable[[#This Row],[Price (3y)]]/RITable[[#This Row],[Ratio]] / 3</f>
        <v>0</v>
      </c>
    </row>
    <row r="724" spans="1:9" x14ac:dyDescent="0.3">
      <c r="A724" t="s">
        <v>1150</v>
      </c>
      <c r="B724" t="s">
        <v>1152</v>
      </c>
      <c r="C724">
        <v>2</v>
      </c>
      <c r="E724" s="12"/>
      <c r="F724" s="11">
        <f>RITable[[#This Row],[Price (1y)]]/RITable[[#This Row],[Ratio]]</f>
        <v>0</v>
      </c>
      <c r="H724" s="12"/>
      <c r="I724" s="10">
        <f>RITable[[#This Row],[Price (3y)]]/RITable[[#This Row],[Ratio]] / 3</f>
        <v>0</v>
      </c>
    </row>
    <row r="725" spans="1:9" x14ac:dyDescent="0.3">
      <c r="A725" t="s">
        <v>1150</v>
      </c>
      <c r="B725" t="s">
        <v>1153</v>
      </c>
      <c r="C725">
        <v>4</v>
      </c>
      <c r="E725" s="12"/>
      <c r="F725" s="11">
        <f>RITable[[#This Row],[Price (1y)]]/RITable[[#This Row],[Ratio]]</f>
        <v>0</v>
      </c>
      <c r="H725" s="12"/>
      <c r="I725" s="10">
        <f>RITable[[#This Row],[Price (3y)]]/RITable[[#This Row],[Ratio]] / 3</f>
        <v>0</v>
      </c>
    </row>
    <row r="726" spans="1:9" x14ac:dyDescent="0.3">
      <c r="A726" t="s">
        <v>1154</v>
      </c>
      <c r="B726" t="s">
        <v>1155</v>
      </c>
      <c r="C726">
        <v>1</v>
      </c>
      <c r="E726" s="12"/>
      <c r="F726" s="11">
        <f>RITable[[#This Row],[Price (1y)]]/RITable[[#This Row],[Ratio]]</f>
        <v>0</v>
      </c>
      <c r="H726" s="12"/>
      <c r="I726" s="10">
        <f>RITable[[#This Row],[Price (3y)]]/RITable[[#This Row],[Ratio]] / 3</f>
        <v>0</v>
      </c>
    </row>
    <row r="727" spans="1:9" x14ac:dyDescent="0.3">
      <c r="A727" t="s">
        <v>1154</v>
      </c>
      <c r="B727" t="s">
        <v>1156</v>
      </c>
      <c r="C727">
        <v>2</v>
      </c>
      <c r="E727" s="12"/>
      <c r="F727" s="11">
        <f>RITable[[#This Row],[Price (1y)]]/RITable[[#This Row],[Ratio]]</f>
        <v>0</v>
      </c>
      <c r="H727" s="12"/>
      <c r="I727" s="10">
        <f>RITable[[#This Row],[Price (3y)]]/RITable[[#This Row],[Ratio]] / 3</f>
        <v>0</v>
      </c>
    </row>
    <row r="728" spans="1:9" x14ac:dyDescent="0.3">
      <c r="A728" t="s">
        <v>1154</v>
      </c>
      <c r="B728" t="s">
        <v>1157</v>
      </c>
      <c r="C728">
        <v>4</v>
      </c>
      <c r="E728" s="12"/>
      <c r="F728" s="11">
        <f>RITable[[#This Row],[Price (1y)]]/RITable[[#This Row],[Ratio]]</f>
        <v>0</v>
      </c>
      <c r="H728" s="12"/>
      <c r="I728" s="10">
        <f>RITable[[#This Row],[Price (3y)]]/RITable[[#This Row],[Ratio]] / 3</f>
        <v>0</v>
      </c>
    </row>
    <row r="729" spans="1:9" x14ac:dyDescent="0.3">
      <c r="A729" t="s">
        <v>656</v>
      </c>
      <c r="B729" t="s">
        <v>657</v>
      </c>
      <c r="C729">
        <v>1</v>
      </c>
      <c r="E729" s="12"/>
      <c r="F729" s="11">
        <f>RITable[[#This Row],[Price (1y)]]/RITable[[#This Row],[Ratio]]</f>
        <v>0</v>
      </c>
      <c r="H729" s="12"/>
      <c r="I729" s="10">
        <f>RITable[[#This Row],[Price (3y)]]/RITable[[#This Row],[Ratio]] / 3</f>
        <v>0</v>
      </c>
    </row>
    <row r="730" spans="1:9" x14ac:dyDescent="0.3">
      <c r="A730" t="s">
        <v>658</v>
      </c>
      <c r="B730" t="s">
        <v>659</v>
      </c>
      <c r="C730">
        <v>1</v>
      </c>
      <c r="E730" s="12"/>
      <c r="F730" s="11">
        <f>RITable[[#This Row],[Price (1y)]]/RITable[[#This Row],[Ratio]]</f>
        <v>0</v>
      </c>
      <c r="H730" s="12"/>
      <c r="I730" s="10">
        <f>RITable[[#This Row],[Price (3y)]]/RITable[[#This Row],[Ratio]] / 3</f>
        <v>0</v>
      </c>
    </row>
    <row r="731" spans="1:9" x14ac:dyDescent="0.3">
      <c r="A731" t="s">
        <v>658</v>
      </c>
      <c r="B731" t="s">
        <v>660</v>
      </c>
      <c r="C731">
        <v>2</v>
      </c>
      <c r="E731" s="12"/>
      <c r="F731" s="11">
        <f>RITable[[#This Row],[Price (1y)]]/RITable[[#This Row],[Ratio]]</f>
        <v>0</v>
      </c>
      <c r="H731" s="12"/>
      <c r="I731" s="10">
        <f>RITable[[#This Row],[Price (3y)]]/RITable[[#This Row],[Ratio]] / 3</f>
        <v>0</v>
      </c>
    </row>
    <row r="732" spans="1:9" x14ac:dyDescent="0.3">
      <c r="A732" t="s">
        <v>661</v>
      </c>
      <c r="B732" t="s">
        <v>662</v>
      </c>
      <c r="C732">
        <v>1</v>
      </c>
      <c r="E732" s="12"/>
      <c r="F732" s="11">
        <f>RITable[[#This Row],[Price (1y)]]/RITable[[#This Row],[Ratio]]</f>
        <v>0</v>
      </c>
      <c r="H732" s="12"/>
      <c r="I732" s="10">
        <f>RITable[[#This Row],[Price (3y)]]/RITable[[#This Row],[Ratio]] / 3</f>
        <v>0</v>
      </c>
    </row>
    <row r="733" spans="1:9" x14ac:dyDescent="0.3">
      <c r="A733" t="s">
        <v>661</v>
      </c>
      <c r="B733" t="s">
        <v>663</v>
      </c>
      <c r="C733">
        <v>2</v>
      </c>
      <c r="E733" s="12"/>
      <c r="F733" s="11">
        <f>RITable[[#This Row],[Price (1y)]]/RITable[[#This Row],[Ratio]]</f>
        <v>0</v>
      </c>
      <c r="H733" s="12"/>
      <c r="I733" s="10">
        <f>RITable[[#This Row],[Price (3y)]]/RITable[[#This Row],[Ratio]] / 3</f>
        <v>0</v>
      </c>
    </row>
    <row r="734" spans="1:9" x14ac:dyDescent="0.3">
      <c r="A734" t="s">
        <v>664</v>
      </c>
      <c r="B734" t="s">
        <v>665</v>
      </c>
      <c r="C734">
        <v>1</v>
      </c>
      <c r="E734" s="12"/>
      <c r="F734" s="11">
        <f>RITable[[#This Row],[Price (1y)]]/RITable[[#This Row],[Ratio]]</f>
        <v>0</v>
      </c>
      <c r="H734" s="12"/>
      <c r="I734" s="10">
        <f>RITable[[#This Row],[Price (3y)]]/RITable[[#This Row],[Ratio]] / 3</f>
        <v>0</v>
      </c>
    </row>
    <row r="735" spans="1:9" x14ac:dyDescent="0.3">
      <c r="A735" t="s">
        <v>666</v>
      </c>
      <c r="B735" t="s">
        <v>667</v>
      </c>
      <c r="C735">
        <v>1</v>
      </c>
      <c r="E735" s="12"/>
      <c r="F735" s="11">
        <f>RITable[[#This Row],[Price (1y)]]/RITable[[#This Row],[Ratio]]</f>
        <v>0</v>
      </c>
      <c r="H735" s="12"/>
      <c r="I735" s="10">
        <f>RITable[[#This Row],[Price (3y)]]/RITable[[#This Row],[Ratio]] / 3</f>
        <v>0</v>
      </c>
    </row>
    <row r="736" spans="1:9" x14ac:dyDescent="0.3">
      <c r="A736" t="s">
        <v>668</v>
      </c>
      <c r="B736" t="s">
        <v>671</v>
      </c>
      <c r="C736">
        <v>1</v>
      </c>
      <c r="E736" s="12"/>
      <c r="F736" s="11">
        <f>RITable[[#This Row],[Price (1y)]]/RITable[[#This Row],[Ratio]]</f>
        <v>0</v>
      </c>
      <c r="H736" s="12"/>
      <c r="I736" s="10">
        <f>RITable[[#This Row],[Price (3y)]]/RITable[[#This Row],[Ratio]] / 3</f>
        <v>0</v>
      </c>
    </row>
    <row r="737" spans="1:9" x14ac:dyDescent="0.3">
      <c r="A737" t="s">
        <v>668</v>
      </c>
      <c r="B737" t="s">
        <v>669</v>
      </c>
      <c r="C737">
        <v>1</v>
      </c>
      <c r="E737" s="12"/>
      <c r="F737" s="11">
        <f>RITable[[#This Row],[Price (1y)]]/RITable[[#This Row],[Ratio]]</f>
        <v>0</v>
      </c>
      <c r="H737" s="12"/>
      <c r="I737" s="10">
        <f>RITable[[#This Row],[Price (3y)]]/RITable[[#This Row],[Ratio]] / 3</f>
        <v>0</v>
      </c>
    </row>
    <row r="738" spans="1:9" x14ac:dyDescent="0.3">
      <c r="A738" t="s">
        <v>668</v>
      </c>
      <c r="B738" t="s">
        <v>672</v>
      </c>
      <c r="C738">
        <v>1</v>
      </c>
      <c r="E738" s="12"/>
      <c r="F738" s="11">
        <f>RITable[[#This Row],[Price (1y)]]/RITable[[#This Row],[Ratio]]</f>
        <v>0</v>
      </c>
      <c r="H738" s="12"/>
      <c r="I738" s="10">
        <f>RITable[[#This Row],[Price (3y)]]/RITable[[#This Row],[Ratio]] / 3</f>
        <v>0</v>
      </c>
    </row>
    <row r="739" spans="1:9" x14ac:dyDescent="0.3">
      <c r="A739" t="s">
        <v>668</v>
      </c>
      <c r="B739" t="s">
        <v>670</v>
      </c>
      <c r="C739">
        <v>1</v>
      </c>
      <c r="E739" s="12"/>
      <c r="F739" s="11">
        <f>RITable[[#This Row],[Price (1y)]]/RITable[[#This Row],[Ratio]]</f>
        <v>0</v>
      </c>
      <c r="H739" s="12"/>
      <c r="I739" s="10">
        <f>RITable[[#This Row],[Price (3y)]]/RITable[[#This Row],[Ratio]] / 3</f>
        <v>0</v>
      </c>
    </row>
    <row r="740" spans="1:9" x14ac:dyDescent="0.3">
      <c r="A740" t="s">
        <v>673</v>
      </c>
      <c r="B740" t="s">
        <v>674</v>
      </c>
      <c r="C740">
        <v>1</v>
      </c>
      <c r="E740" s="12"/>
      <c r="F740" s="11">
        <f>RITable[[#This Row],[Price (1y)]]/RITable[[#This Row],[Ratio]]</f>
        <v>0</v>
      </c>
      <c r="H740" s="12"/>
      <c r="I740" s="10">
        <f>RITable[[#This Row],[Price (3y)]]/RITable[[#This Row],[Ratio]] / 3</f>
        <v>0</v>
      </c>
    </row>
    <row r="741" spans="1:9" x14ac:dyDescent="0.3">
      <c r="A741" t="s">
        <v>673</v>
      </c>
      <c r="B741" t="s">
        <v>677</v>
      </c>
      <c r="C741">
        <v>1</v>
      </c>
      <c r="E741" s="12"/>
      <c r="F741" s="11">
        <f>RITable[[#This Row],[Price (1y)]]/RITable[[#This Row],[Ratio]]</f>
        <v>0</v>
      </c>
      <c r="H741" s="12"/>
      <c r="I741" s="10">
        <f>RITable[[#This Row],[Price (3y)]]/RITable[[#This Row],[Ratio]] / 3</f>
        <v>0</v>
      </c>
    </row>
    <row r="742" spans="1:9" x14ac:dyDescent="0.3">
      <c r="A742" t="s">
        <v>673</v>
      </c>
      <c r="B742" t="s">
        <v>676</v>
      </c>
      <c r="C742">
        <v>1</v>
      </c>
      <c r="E742" s="12"/>
      <c r="F742" s="11">
        <f>RITable[[#This Row],[Price (1y)]]/RITable[[#This Row],[Ratio]]</f>
        <v>0</v>
      </c>
      <c r="H742" s="12"/>
      <c r="I742" s="10">
        <f>RITable[[#This Row],[Price (3y)]]/RITable[[#This Row],[Ratio]] / 3</f>
        <v>0</v>
      </c>
    </row>
    <row r="743" spans="1:9" x14ac:dyDescent="0.3">
      <c r="A743" t="s">
        <v>673</v>
      </c>
      <c r="B743" t="s">
        <v>678</v>
      </c>
      <c r="C743">
        <v>1</v>
      </c>
      <c r="E743" s="12"/>
      <c r="F743" s="11">
        <f>RITable[[#This Row],[Price (1y)]]/RITable[[#This Row],[Ratio]]</f>
        <v>0</v>
      </c>
      <c r="H743" s="12"/>
      <c r="I743" s="10">
        <f>RITable[[#This Row],[Price (3y)]]/RITable[[#This Row],[Ratio]] / 3</f>
        <v>0</v>
      </c>
    </row>
    <row r="744" spans="1:9" x14ac:dyDescent="0.3">
      <c r="A744" t="s">
        <v>673</v>
      </c>
      <c r="B744" t="s">
        <v>675</v>
      </c>
      <c r="C744">
        <v>1</v>
      </c>
      <c r="E744" s="12"/>
      <c r="F744" s="11">
        <f>RITable[[#This Row],[Price (1y)]]/RITable[[#This Row],[Ratio]]</f>
        <v>0</v>
      </c>
      <c r="H744" s="12"/>
      <c r="I744" s="10">
        <f>RITable[[#This Row],[Price (3y)]]/RITable[[#This Row],[Ratio]] / 3</f>
        <v>0</v>
      </c>
    </row>
    <row r="745" spans="1:9" x14ac:dyDescent="0.3">
      <c r="A745" t="s">
        <v>679</v>
      </c>
      <c r="B745" t="s">
        <v>684</v>
      </c>
      <c r="C745">
        <v>1</v>
      </c>
      <c r="E745" s="12"/>
      <c r="F745" s="11">
        <f>RITable[[#This Row],[Price (1y)]]/RITable[[#This Row],[Ratio]]</f>
        <v>0</v>
      </c>
      <c r="H745" s="12"/>
      <c r="I745" s="10">
        <f>RITable[[#This Row],[Price (3y)]]/RITable[[#This Row],[Ratio]] / 3</f>
        <v>0</v>
      </c>
    </row>
    <row r="746" spans="1:9" x14ac:dyDescent="0.3">
      <c r="A746" t="s">
        <v>679</v>
      </c>
      <c r="B746" t="s">
        <v>683</v>
      </c>
      <c r="C746">
        <v>1</v>
      </c>
      <c r="E746" s="12"/>
      <c r="F746" s="11">
        <f>RITable[[#This Row],[Price (1y)]]/RITable[[#This Row],[Ratio]]</f>
        <v>0</v>
      </c>
      <c r="H746" s="12"/>
      <c r="I746" s="10">
        <f>RITable[[#This Row],[Price (3y)]]/RITable[[#This Row],[Ratio]] / 3</f>
        <v>0</v>
      </c>
    </row>
    <row r="747" spans="1:9" x14ac:dyDescent="0.3">
      <c r="A747" t="s">
        <v>679</v>
      </c>
      <c r="B747" t="s">
        <v>682</v>
      </c>
      <c r="C747">
        <v>1</v>
      </c>
      <c r="E747" s="12"/>
      <c r="F747" s="11">
        <f>RITable[[#This Row],[Price (1y)]]/RITable[[#This Row],[Ratio]]</f>
        <v>0</v>
      </c>
      <c r="H747" s="12"/>
      <c r="I747" s="10">
        <f>RITable[[#This Row],[Price (3y)]]/RITable[[#This Row],[Ratio]] / 3</f>
        <v>0</v>
      </c>
    </row>
    <row r="748" spans="1:9" x14ac:dyDescent="0.3">
      <c r="A748" t="s">
        <v>679</v>
      </c>
      <c r="B748" t="s">
        <v>681</v>
      </c>
      <c r="C748">
        <v>1</v>
      </c>
      <c r="E748" s="12"/>
      <c r="F748" s="11">
        <f>RITable[[#This Row],[Price (1y)]]/RITable[[#This Row],[Ratio]]</f>
        <v>0</v>
      </c>
      <c r="H748" s="12"/>
      <c r="I748" s="10">
        <f>RITable[[#This Row],[Price (3y)]]/RITable[[#This Row],[Ratio]] / 3</f>
        <v>0</v>
      </c>
    </row>
    <row r="749" spans="1:9" x14ac:dyDescent="0.3">
      <c r="A749" t="s">
        <v>679</v>
      </c>
      <c r="B749" t="s">
        <v>680</v>
      </c>
      <c r="C749">
        <v>1</v>
      </c>
      <c r="E749" s="12"/>
      <c r="F749" s="11">
        <f>RITable[[#This Row],[Price (1y)]]/RITable[[#This Row],[Ratio]]</f>
        <v>0</v>
      </c>
      <c r="H749" s="12"/>
      <c r="I749" s="10">
        <f>RITable[[#This Row],[Price (3y)]]/RITable[[#This Row],[Ratio]] / 3</f>
        <v>0</v>
      </c>
    </row>
    <row r="750" spans="1:9" x14ac:dyDescent="0.3">
      <c r="A750" t="s">
        <v>685</v>
      </c>
      <c r="B750" t="s">
        <v>688</v>
      </c>
      <c r="C750">
        <v>1</v>
      </c>
      <c r="E750" s="12"/>
      <c r="F750" s="11">
        <f>RITable[[#This Row],[Price (1y)]]/RITable[[#This Row],[Ratio]]</f>
        <v>0</v>
      </c>
      <c r="H750" s="12"/>
      <c r="I750" s="10">
        <f>RITable[[#This Row],[Price (3y)]]/RITable[[#This Row],[Ratio]] / 3</f>
        <v>0</v>
      </c>
    </row>
    <row r="751" spans="1:9" x14ac:dyDescent="0.3">
      <c r="A751" t="s">
        <v>685</v>
      </c>
      <c r="B751" t="s">
        <v>686</v>
      </c>
      <c r="C751">
        <v>1</v>
      </c>
      <c r="E751" s="12"/>
      <c r="F751" s="11">
        <f>RITable[[#This Row],[Price (1y)]]/RITable[[#This Row],[Ratio]]</f>
        <v>0</v>
      </c>
      <c r="H751" s="12"/>
      <c r="I751" s="10">
        <f>RITable[[#This Row],[Price (3y)]]/RITable[[#This Row],[Ratio]] / 3</f>
        <v>0</v>
      </c>
    </row>
    <row r="752" spans="1:9" x14ac:dyDescent="0.3">
      <c r="A752" t="s">
        <v>685</v>
      </c>
      <c r="B752" t="s">
        <v>687</v>
      </c>
      <c r="C752">
        <v>1</v>
      </c>
      <c r="E752" s="12"/>
      <c r="F752" s="11">
        <f>RITable[[#This Row],[Price (1y)]]/RITable[[#This Row],[Ratio]]</f>
        <v>0</v>
      </c>
      <c r="H752" s="12"/>
      <c r="I752" s="10">
        <f>RITable[[#This Row],[Price (3y)]]/RITable[[#This Row],[Ratio]] / 3</f>
        <v>0</v>
      </c>
    </row>
    <row r="753" spans="1:9" x14ac:dyDescent="0.3">
      <c r="A753" t="s">
        <v>689</v>
      </c>
      <c r="B753" t="s">
        <v>690</v>
      </c>
      <c r="C753">
        <v>1</v>
      </c>
      <c r="E753" s="12"/>
      <c r="F753" s="11">
        <f>RITable[[#This Row],[Price (1y)]]/RITable[[#This Row],[Ratio]]</f>
        <v>0</v>
      </c>
      <c r="H753" s="12"/>
      <c r="I753" s="10">
        <f>RITable[[#This Row],[Price (3y)]]/RITable[[#This Row],[Ratio]] / 3</f>
        <v>0</v>
      </c>
    </row>
    <row r="754" spans="1:9" x14ac:dyDescent="0.3">
      <c r="A754" t="s">
        <v>689</v>
      </c>
      <c r="B754" t="s">
        <v>691</v>
      </c>
      <c r="C754">
        <v>1</v>
      </c>
      <c r="E754" s="12"/>
      <c r="F754" s="11">
        <f>RITable[[#This Row],[Price (1y)]]/RITable[[#This Row],[Ratio]]</f>
        <v>0</v>
      </c>
      <c r="H754" s="12"/>
      <c r="I754" s="10">
        <f>RITable[[#This Row],[Price (3y)]]/RITable[[#This Row],[Ratio]] / 3</f>
        <v>0</v>
      </c>
    </row>
    <row r="755" spans="1:9" x14ac:dyDescent="0.3">
      <c r="A755" t="s">
        <v>1158</v>
      </c>
      <c r="B755" t="s">
        <v>1159</v>
      </c>
      <c r="C755">
        <v>1</v>
      </c>
      <c r="E755" s="12"/>
      <c r="F755" s="11">
        <f>RITable[[#This Row],[Price (1y)]]/RITable[[#This Row],[Ratio]]</f>
        <v>0</v>
      </c>
      <c r="H755" s="12"/>
      <c r="I755" s="10">
        <f>RITable[[#This Row],[Price (3y)]]/RITable[[#This Row],[Ratio]] / 3</f>
        <v>0</v>
      </c>
    </row>
    <row r="756" spans="1:9" x14ac:dyDescent="0.3">
      <c r="A756" t="s">
        <v>1158</v>
      </c>
      <c r="B756" t="s">
        <v>1160</v>
      </c>
      <c r="C756">
        <v>2</v>
      </c>
      <c r="E756" s="12"/>
      <c r="F756" s="11">
        <f>RITable[[#This Row],[Price (1y)]]/RITable[[#This Row],[Ratio]]</f>
        <v>0</v>
      </c>
      <c r="H756" s="12"/>
      <c r="I756" s="10">
        <f>RITable[[#This Row],[Price (3y)]]/RITable[[#This Row],[Ratio]] / 3</f>
        <v>0</v>
      </c>
    </row>
    <row r="757" spans="1:9" x14ac:dyDescent="0.3">
      <c r="A757" t="s">
        <v>1158</v>
      </c>
      <c r="B757" t="s">
        <v>1161</v>
      </c>
      <c r="C757">
        <v>4</v>
      </c>
      <c r="E757" s="12"/>
      <c r="F757" s="11">
        <f>RITable[[#This Row],[Price (1y)]]/RITable[[#This Row],[Ratio]]</f>
        <v>0</v>
      </c>
      <c r="H757" s="12"/>
      <c r="I757" s="10">
        <f>RITable[[#This Row],[Price (3y)]]/RITable[[#This Row],[Ratio]] / 3</f>
        <v>0</v>
      </c>
    </row>
    <row r="758" spans="1:9" x14ac:dyDescent="0.3">
      <c r="A758" t="s">
        <v>692</v>
      </c>
      <c r="B758" t="s">
        <v>693</v>
      </c>
      <c r="C758">
        <v>1</v>
      </c>
      <c r="E758" s="12"/>
      <c r="F758" s="11">
        <f>RITable[[#This Row],[Price (1y)]]/RITable[[#This Row],[Ratio]]</f>
        <v>0</v>
      </c>
      <c r="H758" s="12"/>
      <c r="I758" s="10">
        <f>RITable[[#This Row],[Price (3y)]]/RITable[[#This Row],[Ratio]] / 3</f>
        <v>0</v>
      </c>
    </row>
    <row r="759" spans="1:9" x14ac:dyDescent="0.3">
      <c r="A759" t="s">
        <v>692</v>
      </c>
      <c r="B759" t="s">
        <v>694</v>
      </c>
      <c r="C759">
        <v>2</v>
      </c>
      <c r="E759" s="12"/>
      <c r="F759" s="11">
        <f>RITable[[#This Row],[Price (1y)]]/RITable[[#This Row],[Ratio]]</f>
        <v>0</v>
      </c>
      <c r="H759" s="12"/>
      <c r="I759" s="10">
        <f>RITable[[#This Row],[Price (3y)]]/RITable[[#This Row],[Ratio]] / 3</f>
        <v>0</v>
      </c>
    </row>
    <row r="760" spans="1:9" x14ac:dyDescent="0.3">
      <c r="A760" t="s">
        <v>692</v>
      </c>
      <c r="B760" t="s">
        <v>695</v>
      </c>
      <c r="C760">
        <v>4</v>
      </c>
      <c r="E760" s="12"/>
      <c r="F760" s="11">
        <f>RITable[[#This Row],[Price (1y)]]/RITable[[#This Row],[Ratio]]</f>
        <v>0</v>
      </c>
      <c r="H760" s="12"/>
      <c r="I760" s="10">
        <f>RITable[[#This Row],[Price (3y)]]/RITable[[#This Row],[Ratio]] / 3</f>
        <v>0</v>
      </c>
    </row>
    <row r="761" spans="1:9" x14ac:dyDescent="0.3">
      <c r="A761" t="s">
        <v>692</v>
      </c>
      <c r="B761" t="s">
        <v>696</v>
      </c>
      <c r="C761">
        <v>8</v>
      </c>
      <c r="E761" s="12"/>
      <c r="F761" s="11">
        <f>RITable[[#This Row],[Price (1y)]]/RITable[[#This Row],[Ratio]]</f>
        <v>0</v>
      </c>
      <c r="H761" s="12"/>
      <c r="I761" s="10">
        <f>RITable[[#This Row],[Price (3y)]]/RITable[[#This Row],[Ratio]] / 3</f>
        <v>0</v>
      </c>
    </row>
    <row r="762" spans="1:9" x14ac:dyDescent="0.3">
      <c r="A762" t="s">
        <v>697</v>
      </c>
      <c r="B762" t="s">
        <v>698</v>
      </c>
      <c r="C762">
        <v>1</v>
      </c>
      <c r="E762" s="12"/>
      <c r="F762" s="11">
        <f>RITable[[#This Row],[Price (1y)]]/RITable[[#This Row],[Ratio]]</f>
        <v>0</v>
      </c>
      <c r="H762" s="12"/>
      <c r="I762" s="10">
        <f>RITable[[#This Row],[Price (3y)]]/RITable[[#This Row],[Ratio]] / 3</f>
        <v>0</v>
      </c>
    </row>
    <row r="763" spans="1:9" x14ac:dyDescent="0.3">
      <c r="A763" t="s">
        <v>697</v>
      </c>
      <c r="B763" t="s">
        <v>699</v>
      </c>
      <c r="C763">
        <v>2</v>
      </c>
      <c r="E763" s="12"/>
      <c r="F763" s="11">
        <f>RITable[[#This Row],[Price (1y)]]/RITable[[#This Row],[Ratio]]</f>
        <v>0</v>
      </c>
      <c r="H763" s="12"/>
      <c r="I763" s="10">
        <f>RITable[[#This Row],[Price (3y)]]/RITable[[#This Row],[Ratio]] / 3</f>
        <v>0</v>
      </c>
    </row>
    <row r="764" spans="1:9" x14ac:dyDescent="0.3">
      <c r="A764" t="s">
        <v>697</v>
      </c>
      <c r="B764" t="s">
        <v>700</v>
      </c>
      <c r="C764">
        <v>4</v>
      </c>
      <c r="E764" s="12"/>
      <c r="F764" s="11">
        <f>RITable[[#This Row],[Price (1y)]]/RITable[[#This Row],[Ratio]]</f>
        <v>0</v>
      </c>
      <c r="H764" s="12"/>
      <c r="I764" s="10">
        <f>RITable[[#This Row],[Price (3y)]]/RITable[[#This Row],[Ratio]] / 3</f>
        <v>0</v>
      </c>
    </row>
    <row r="765" spans="1:9" x14ac:dyDescent="0.3">
      <c r="A765" t="s">
        <v>697</v>
      </c>
      <c r="B765" t="s">
        <v>701</v>
      </c>
      <c r="C765">
        <v>6</v>
      </c>
      <c r="E765" s="12"/>
      <c r="F765" s="11">
        <f>RITable[[#This Row],[Price (1y)]]/RITable[[#This Row],[Ratio]]</f>
        <v>0</v>
      </c>
      <c r="H765" s="12"/>
      <c r="I765" s="10">
        <f>RITable[[#This Row],[Price (3y)]]/RITable[[#This Row],[Ratio]] / 3</f>
        <v>0</v>
      </c>
    </row>
    <row r="766" spans="1:9" x14ac:dyDescent="0.3">
      <c r="A766" t="s">
        <v>697</v>
      </c>
      <c r="B766" t="s">
        <v>702</v>
      </c>
      <c r="C766">
        <v>8</v>
      </c>
      <c r="E766" s="12"/>
      <c r="F766" s="11">
        <f>RITable[[#This Row],[Price (1y)]]/RITable[[#This Row],[Ratio]]</f>
        <v>0</v>
      </c>
      <c r="H766" s="12"/>
      <c r="I766" s="10">
        <f>RITable[[#This Row],[Price (3y)]]/RITable[[#This Row],[Ratio]] / 3</f>
        <v>0</v>
      </c>
    </row>
    <row r="767" spans="1:9" x14ac:dyDescent="0.3">
      <c r="A767" t="s">
        <v>697</v>
      </c>
      <c r="B767" t="s">
        <v>703</v>
      </c>
      <c r="C767">
        <v>10</v>
      </c>
      <c r="E767" s="12"/>
      <c r="F767" s="11">
        <f>RITable[[#This Row],[Price (1y)]]/RITable[[#This Row],[Ratio]]</f>
        <v>0</v>
      </c>
      <c r="H767" s="12"/>
      <c r="I767" s="10">
        <f>RITable[[#This Row],[Price (3y)]]/RITable[[#This Row],[Ratio]] / 3</f>
        <v>0</v>
      </c>
    </row>
    <row r="768" spans="1:9" x14ac:dyDescent="0.3">
      <c r="A768" t="s">
        <v>697</v>
      </c>
      <c r="B768" t="s">
        <v>704</v>
      </c>
      <c r="C768">
        <v>12</v>
      </c>
      <c r="E768" s="12"/>
      <c r="F768" s="11">
        <f>RITable[[#This Row],[Price (1y)]]/RITable[[#This Row],[Ratio]]</f>
        <v>0</v>
      </c>
      <c r="H768" s="12"/>
      <c r="I768" s="10">
        <f>RITable[[#This Row],[Price (3y)]]/RITable[[#This Row],[Ratio]] / 3</f>
        <v>0</v>
      </c>
    </row>
    <row r="769" spans="1:9" x14ac:dyDescent="0.3">
      <c r="A769" t="s">
        <v>705</v>
      </c>
      <c r="B769" t="s">
        <v>706</v>
      </c>
      <c r="C769">
        <v>1</v>
      </c>
      <c r="E769" s="12"/>
      <c r="F769" s="11">
        <f>RITable[[#This Row],[Price (1y)]]/RITable[[#This Row],[Ratio]]</f>
        <v>0</v>
      </c>
      <c r="H769" s="12"/>
      <c r="I769" s="10">
        <f>RITable[[#This Row],[Price (3y)]]/RITable[[#This Row],[Ratio]] / 3</f>
        <v>0</v>
      </c>
    </row>
    <row r="770" spans="1:9" x14ac:dyDescent="0.3">
      <c r="A770" t="s">
        <v>1162</v>
      </c>
      <c r="B770" t="s">
        <v>1163</v>
      </c>
      <c r="C770">
        <v>1</v>
      </c>
      <c r="E770" s="12"/>
      <c r="F770" s="11">
        <f>RITable[[#This Row],[Price (1y)]]/RITable[[#This Row],[Ratio]]</f>
        <v>0</v>
      </c>
      <c r="H770" s="12"/>
      <c r="I770" s="10">
        <f>RITable[[#This Row],[Price (3y)]]/RITable[[#This Row],[Ratio]] / 3</f>
        <v>0</v>
      </c>
    </row>
    <row r="771" spans="1:9" x14ac:dyDescent="0.3">
      <c r="A771" t="s">
        <v>707</v>
      </c>
      <c r="B771" t="s">
        <v>708</v>
      </c>
      <c r="C771">
        <v>1</v>
      </c>
      <c r="E771" s="12"/>
      <c r="F771" s="11">
        <f>RITable[[#This Row],[Price (1y)]]/RITable[[#This Row],[Ratio]]</f>
        <v>0</v>
      </c>
      <c r="H771" s="12"/>
      <c r="I771" s="10">
        <f>RITable[[#This Row],[Price (3y)]]/RITable[[#This Row],[Ratio]] / 3</f>
        <v>0</v>
      </c>
    </row>
    <row r="772" spans="1:9" x14ac:dyDescent="0.3">
      <c r="A772" t="s">
        <v>707</v>
      </c>
      <c r="B772" t="s">
        <v>709</v>
      </c>
      <c r="C772">
        <v>2</v>
      </c>
      <c r="E772" s="12"/>
      <c r="F772" s="11">
        <f>RITable[[#This Row],[Price (1y)]]/RITable[[#This Row],[Ratio]]</f>
        <v>0</v>
      </c>
      <c r="H772" s="12"/>
      <c r="I772" s="10">
        <f>RITable[[#This Row],[Price (3y)]]/RITable[[#This Row],[Ratio]] / 3</f>
        <v>0</v>
      </c>
    </row>
    <row r="773" spans="1:9" x14ac:dyDescent="0.3">
      <c r="A773" t="s">
        <v>707</v>
      </c>
      <c r="B773" t="s">
        <v>710</v>
      </c>
      <c r="C773">
        <v>4</v>
      </c>
      <c r="E773" s="12"/>
      <c r="F773" s="11">
        <f>RITable[[#This Row],[Price (1y)]]/RITable[[#This Row],[Ratio]]</f>
        <v>0</v>
      </c>
      <c r="H773" s="12"/>
      <c r="I773" s="10">
        <f>RITable[[#This Row],[Price (3y)]]/RITable[[#This Row],[Ratio]] / 3</f>
        <v>0</v>
      </c>
    </row>
    <row r="774" spans="1:9" x14ac:dyDescent="0.3">
      <c r="A774" t="s">
        <v>707</v>
      </c>
      <c r="B774" t="s">
        <v>711</v>
      </c>
      <c r="C774">
        <v>6</v>
      </c>
      <c r="E774" s="12"/>
      <c r="F774" s="11">
        <f>RITable[[#This Row],[Price (1y)]]/RITable[[#This Row],[Ratio]]</f>
        <v>0</v>
      </c>
      <c r="H774" s="12"/>
      <c r="I774" s="10">
        <f>RITable[[#This Row],[Price (3y)]]/RITable[[#This Row],[Ratio]] / 3</f>
        <v>0</v>
      </c>
    </row>
    <row r="775" spans="1:9" x14ac:dyDescent="0.3">
      <c r="A775" t="s">
        <v>707</v>
      </c>
      <c r="B775" t="s">
        <v>712</v>
      </c>
      <c r="C775">
        <v>8</v>
      </c>
      <c r="E775" s="12"/>
      <c r="F775" s="11">
        <f>RITable[[#This Row],[Price (1y)]]/RITable[[#This Row],[Ratio]]</f>
        <v>0</v>
      </c>
      <c r="H775" s="12"/>
      <c r="I775" s="10">
        <f>RITable[[#This Row],[Price (3y)]]/RITable[[#This Row],[Ratio]] / 3</f>
        <v>0</v>
      </c>
    </row>
    <row r="776" spans="1:9" x14ac:dyDescent="0.3">
      <c r="A776" t="s">
        <v>707</v>
      </c>
      <c r="B776" t="s">
        <v>713</v>
      </c>
      <c r="C776">
        <v>10</v>
      </c>
      <c r="E776" s="12"/>
      <c r="F776" s="11">
        <f>RITable[[#This Row],[Price (1y)]]/RITable[[#This Row],[Ratio]]</f>
        <v>0</v>
      </c>
      <c r="H776" s="12"/>
      <c r="I776" s="10">
        <f>RITable[[#This Row],[Price (3y)]]/RITable[[#This Row],[Ratio]] / 3</f>
        <v>0</v>
      </c>
    </row>
    <row r="777" spans="1:9" x14ac:dyDescent="0.3">
      <c r="A777" t="s">
        <v>707</v>
      </c>
      <c r="B777" t="s">
        <v>714</v>
      </c>
      <c r="C777">
        <v>12</v>
      </c>
      <c r="E777" s="12"/>
      <c r="F777" s="11">
        <f>RITable[[#This Row],[Price (1y)]]/RITable[[#This Row],[Ratio]]</f>
        <v>0</v>
      </c>
      <c r="H777" s="12"/>
      <c r="I777" s="10">
        <f>RITable[[#This Row],[Price (3y)]]/RITable[[#This Row],[Ratio]] / 3</f>
        <v>0</v>
      </c>
    </row>
    <row r="778" spans="1:9" x14ac:dyDescent="0.3">
      <c r="A778" t="s">
        <v>707</v>
      </c>
      <c r="B778" t="s">
        <v>715</v>
      </c>
      <c r="C778">
        <v>14</v>
      </c>
      <c r="E778" s="12"/>
      <c r="F778" s="11">
        <f>RITable[[#This Row],[Price (1y)]]/RITable[[#This Row],[Ratio]]</f>
        <v>0</v>
      </c>
      <c r="H778" s="12"/>
      <c r="I778" s="10">
        <f>RITable[[#This Row],[Price (3y)]]/RITable[[#This Row],[Ratio]] / 3</f>
        <v>0</v>
      </c>
    </row>
    <row r="779" spans="1:9" x14ac:dyDescent="0.3">
      <c r="A779" t="s">
        <v>716</v>
      </c>
      <c r="B779" t="s">
        <v>717</v>
      </c>
      <c r="C779">
        <v>1</v>
      </c>
      <c r="E779" s="12"/>
      <c r="F779" s="11">
        <f>RITable[[#This Row],[Price (1y)]]/RITable[[#This Row],[Ratio]]</f>
        <v>0</v>
      </c>
      <c r="H779" s="12"/>
      <c r="I779" s="10">
        <f>RITable[[#This Row],[Price (3y)]]/RITable[[#This Row],[Ratio]] / 3</f>
        <v>0</v>
      </c>
    </row>
    <row r="780" spans="1:9" x14ac:dyDescent="0.3">
      <c r="A780" t="s">
        <v>1164</v>
      </c>
      <c r="B780" t="s">
        <v>1165</v>
      </c>
      <c r="C780">
        <v>1</v>
      </c>
      <c r="E780" s="12"/>
      <c r="F780" s="11">
        <f>RITable[[#This Row],[Price (1y)]]/RITable[[#This Row],[Ratio]]</f>
        <v>0</v>
      </c>
      <c r="H780" s="12"/>
      <c r="I780" s="10">
        <f>RITable[[#This Row],[Price (3y)]]/RITable[[#This Row],[Ratio]] / 3</f>
        <v>0</v>
      </c>
    </row>
    <row r="781" spans="1:9" x14ac:dyDescent="0.3">
      <c r="A781" t="s">
        <v>718</v>
      </c>
      <c r="B781" t="s">
        <v>719</v>
      </c>
      <c r="C781">
        <v>1</v>
      </c>
      <c r="E781" s="12"/>
      <c r="F781" s="11">
        <f>RITable[[#This Row],[Price (1y)]]/RITable[[#This Row],[Ratio]]</f>
        <v>0</v>
      </c>
      <c r="H781" s="12"/>
      <c r="I781" s="10">
        <f>RITable[[#This Row],[Price (3y)]]/RITable[[#This Row],[Ratio]] / 3</f>
        <v>0</v>
      </c>
    </row>
    <row r="782" spans="1:9" x14ac:dyDescent="0.3">
      <c r="A782" t="s">
        <v>718</v>
      </c>
      <c r="B782" t="s">
        <v>720</v>
      </c>
      <c r="C782">
        <v>2</v>
      </c>
      <c r="E782" s="12"/>
      <c r="F782" s="11">
        <f>RITable[[#This Row],[Price (1y)]]/RITable[[#This Row],[Ratio]]</f>
        <v>0</v>
      </c>
      <c r="H782" s="12"/>
      <c r="I782" s="10">
        <f>RITable[[#This Row],[Price (3y)]]/RITable[[#This Row],[Ratio]] / 3</f>
        <v>0</v>
      </c>
    </row>
    <row r="783" spans="1:9" x14ac:dyDescent="0.3">
      <c r="A783" t="s">
        <v>718</v>
      </c>
      <c r="B783" t="s">
        <v>721</v>
      </c>
      <c r="C783">
        <v>4</v>
      </c>
      <c r="E783" s="12"/>
      <c r="F783" s="11">
        <f>RITable[[#This Row],[Price (1y)]]/RITable[[#This Row],[Ratio]]</f>
        <v>0</v>
      </c>
      <c r="H783" s="12"/>
      <c r="I783" s="10">
        <f>RITable[[#This Row],[Price (3y)]]/RITable[[#This Row],[Ratio]] / 3</f>
        <v>0</v>
      </c>
    </row>
    <row r="784" spans="1:9" x14ac:dyDescent="0.3">
      <c r="A784" t="s">
        <v>718</v>
      </c>
      <c r="B784" t="s">
        <v>722</v>
      </c>
      <c r="C784">
        <v>6</v>
      </c>
      <c r="E784" s="12"/>
      <c r="F784" s="11">
        <f>RITable[[#This Row],[Price (1y)]]/RITable[[#This Row],[Ratio]]</f>
        <v>0</v>
      </c>
      <c r="H784" s="12"/>
      <c r="I784" s="10">
        <f>RITable[[#This Row],[Price (3y)]]/RITable[[#This Row],[Ratio]] / 3</f>
        <v>0</v>
      </c>
    </row>
    <row r="785" spans="1:9" x14ac:dyDescent="0.3">
      <c r="A785" t="s">
        <v>718</v>
      </c>
      <c r="B785" t="s">
        <v>723</v>
      </c>
      <c r="C785">
        <v>8</v>
      </c>
      <c r="E785" s="12"/>
      <c r="F785" s="11">
        <f>RITable[[#This Row],[Price (1y)]]/RITable[[#This Row],[Ratio]]</f>
        <v>0</v>
      </c>
      <c r="H785" s="12"/>
      <c r="I785" s="10">
        <f>RITable[[#This Row],[Price (3y)]]/RITable[[#This Row],[Ratio]] / 3</f>
        <v>0</v>
      </c>
    </row>
    <row r="786" spans="1:9" x14ac:dyDescent="0.3">
      <c r="A786" t="s">
        <v>718</v>
      </c>
      <c r="B786" t="s">
        <v>724</v>
      </c>
      <c r="C786">
        <v>10</v>
      </c>
      <c r="E786" s="12"/>
      <c r="F786" s="11">
        <f>RITable[[#This Row],[Price (1y)]]/RITable[[#This Row],[Ratio]]</f>
        <v>0</v>
      </c>
      <c r="H786" s="12"/>
      <c r="I786" s="10">
        <f>RITable[[#This Row],[Price (3y)]]/RITable[[#This Row],[Ratio]] / 3</f>
        <v>0</v>
      </c>
    </row>
    <row r="787" spans="1:9" x14ac:dyDescent="0.3">
      <c r="A787" t="s">
        <v>718</v>
      </c>
      <c r="B787" t="s">
        <v>725</v>
      </c>
      <c r="C787">
        <v>12</v>
      </c>
      <c r="E787" s="12"/>
      <c r="F787" s="11">
        <f>RITable[[#This Row],[Price (1y)]]/RITable[[#This Row],[Ratio]]</f>
        <v>0</v>
      </c>
      <c r="H787" s="12"/>
      <c r="I787" s="10">
        <f>RITable[[#This Row],[Price (3y)]]/RITable[[#This Row],[Ratio]] / 3</f>
        <v>0</v>
      </c>
    </row>
    <row r="788" spans="1:9" x14ac:dyDescent="0.3">
      <c r="A788" t="s">
        <v>718</v>
      </c>
      <c r="B788" t="s">
        <v>1166</v>
      </c>
      <c r="C788">
        <v>13</v>
      </c>
      <c r="E788" s="12"/>
      <c r="F788" s="11">
        <f>RITable[[#This Row],[Price (1y)]]/RITable[[#This Row],[Ratio]]</f>
        <v>0</v>
      </c>
      <c r="H788" s="12"/>
      <c r="I788" s="10">
        <f>RITable[[#This Row],[Price (3y)]]/RITable[[#This Row],[Ratio]] / 3</f>
        <v>0</v>
      </c>
    </row>
    <row r="789" spans="1:9" x14ac:dyDescent="0.3">
      <c r="A789" t="s">
        <v>718</v>
      </c>
      <c r="B789" t="s">
        <v>726</v>
      </c>
      <c r="C789">
        <v>14</v>
      </c>
      <c r="E789" s="12"/>
      <c r="F789" s="11">
        <f>RITable[[#This Row],[Price (1y)]]/RITable[[#This Row],[Ratio]]</f>
        <v>0</v>
      </c>
      <c r="H789" s="12"/>
      <c r="I789" s="10">
        <f>RITable[[#This Row],[Price (3y)]]/RITable[[#This Row],[Ratio]] / 3</f>
        <v>0</v>
      </c>
    </row>
    <row r="790" spans="1:9" x14ac:dyDescent="0.3">
      <c r="A790" t="s">
        <v>727</v>
      </c>
      <c r="B790" t="s">
        <v>728</v>
      </c>
      <c r="C790">
        <v>1</v>
      </c>
      <c r="E790" s="12"/>
      <c r="F790" s="11">
        <f>RITable[[#This Row],[Price (1y)]]/RITable[[#This Row],[Ratio]]</f>
        <v>0</v>
      </c>
      <c r="H790" s="12"/>
      <c r="I790" s="10">
        <f>RITable[[#This Row],[Price (3y)]]/RITable[[#This Row],[Ratio]] / 3</f>
        <v>0</v>
      </c>
    </row>
    <row r="791" spans="1:9" x14ac:dyDescent="0.3">
      <c r="A791" t="s">
        <v>727</v>
      </c>
      <c r="B791" t="s">
        <v>729</v>
      </c>
      <c r="C791">
        <v>1</v>
      </c>
      <c r="E791" s="12"/>
      <c r="F791" s="11">
        <f>RITable[[#This Row],[Price (1y)]]/RITable[[#This Row],[Ratio]]</f>
        <v>0</v>
      </c>
      <c r="H791" s="12"/>
      <c r="I791" s="10">
        <f>RITable[[#This Row],[Price (3y)]]/RITable[[#This Row],[Ratio]] / 3</f>
        <v>0</v>
      </c>
    </row>
    <row r="792" spans="1:9" x14ac:dyDescent="0.3">
      <c r="A792" t="s">
        <v>727</v>
      </c>
      <c r="B792" t="s">
        <v>731</v>
      </c>
      <c r="C792">
        <v>2</v>
      </c>
      <c r="E792" s="12"/>
      <c r="F792" s="11">
        <f>RITable[[#This Row],[Price (1y)]]/RITable[[#This Row],[Ratio]]</f>
        <v>0</v>
      </c>
      <c r="H792" s="12"/>
      <c r="I792" s="10">
        <f>RITable[[#This Row],[Price (3y)]]/RITable[[#This Row],[Ratio]] / 3</f>
        <v>0</v>
      </c>
    </row>
    <row r="793" spans="1:9" x14ac:dyDescent="0.3">
      <c r="A793" t="s">
        <v>727</v>
      </c>
      <c r="B793" t="s">
        <v>730</v>
      </c>
      <c r="C793">
        <v>2</v>
      </c>
      <c r="E793" s="12"/>
      <c r="F793" s="11">
        <f>RITable[[#This Row],[Price (1y)]]/RITable[[#This Row],[Ratio]]</f>
        <v>0</v>
      </c>
      <c r="H793" s="12"/>
      <c r="I793" s="10">
        <f>RITable[[#This Row],[Price (3y)]]/RITable[[#This Row],[Ratio]] / 3</f>
        <v>0</v>
      </c>
    </row>
    <row r="794" spans="1:9" x14ac:dyDescent="0.3">
      <c r="A794" t="s">
        <v>732</v>
      </c>
      <c r="B794" t="s">
        <v>733</v>
      </c>
      <c r="C794">
        <v>1</v>
      </c>
      <c r="E794" s="12"/>
      <c r="F794" s="11">
        <f>RITable[[#This Row],[Price (1y)]]/RITable[[#This Row],[Ratio]]</f>
        <v>0</v>
      </c>
      <c r="H794" s="12"/>
      <c r="I794" s="10">
        <f>RITable[[#This Row],[Price (3y)]]/RITable[[#This Row],[Ratio]] / 3</f>
        <v>0</v>
      </c>
    </row>
    <row r="795" spans="1:9" x14ac:dyDescent="0.3">
      <c r="A795" t="s">
        <v>734</v>
      </c>
      <c r="B795" t="s">
        <v>735</v>
      </c>
      <c r="C795">
        <v>1</v>
      </c>
      <c r="E795" s="12"/>
      <c r="F795" s="11">
        <f>RITable[[#This Row],[Price (1y)]]/RITable[[#This Row],[Ratio]]</f>
        <v>0</v>
      </c>
      <c r="H795" s="12"/>
      <c r="I795" s="10">
        <f>RITable[[#This Row],[Price (3y)]]/RITable[[#This Row],[Ratio]] / 3</f>
        <v>0</v>
      </c>
    </row>
    <row r="796" spans="1:9" x14ac:dyDescent="0.3">
      <c r="A796" t="s">
        <v>734</v>
      </c>
      <c r="B796" t="s">
        <v>736</v>
      </c>
      <c r="C796">
        <v>2</v>
      </c>
      <c r="E796" s="12"/>
      <c r="F796" s="11">
        <f>RITable[[#This Row],[Price (1y)]]/RITable[[#This Row],[Ratio]]</f>
        <v>0</v>
      </c>
      <c r="H796" s="12"/>
      <c r="I796" s="10">
        <f>RITable[[#This Row],[Price (3y)]]/RITable[[#This Row],[Ratio]] / 3</f>
        <v>0</v>
      </c>
    </row>
    <row r="797" spans="1:9" x14ac:dyDescent="0.3">
      <c r="A797" t="s">
        <v>737</v>
      </c>
      <c r="B797" t="s">
        <v>739</v>
      </c>
      <c r="C797">
        <v>1</v>
      </c>
      <c r="E797" s="12"/>
      <c r="F797" s="11">
        <f>RITable[[#This Row],[Price (1y)]]/RITable[[#This Row],[Ratio]]</f>
        <v>0</v>
      </c>
      <c r="H797" s="12"/>
      <c r="I797" s="10">
        <f>RITable[[#This Row],[Price (3y)]]/RITable[[#This Row],[Ratio]] / 3</f>
        <v>0</v>
      </c>
    </row>
    <row r="798" spans="1:9" x14ac:dyDescent="0.3">
      <c r="A798" t="s">
        <v>737</v>
      </c>
      <c r="B798" t="s">
        <v>740</v>
      </c>
      <c r="C798">
        <v>1</v>
      </c>
      <c r="E798" s="12"/>
      <c r="F798" s="11">
        <f>RITable[[#This Row],[Price (1y)]]/RITable[[#This Row],[Ratio]]</f>
        <v>0</v>
      </c>
      <c r="H798" s="12"/>
      <c r="I798" s="10">
        <f>RITable[[#This Row],[Price (3y)]]/RITable[[#This Row],[Ratio]] / 3</f>
        <v>0</v>
      </c>
    </row>
    <row r="799" spans="1:9" x14ac:dyDescent="0.3">
      <c r="A799" t="s">
        <v>737</v>
      </c>
      <c r="B799" t="s">
        <v>738</v>
      </c>
      <c r="C799">
        <v>1</v>
      </c>
      <c r="E799" s="12"/>
      <c r="F799" s="11">
        <f>RITable[[#This Row],[Price (1y)]]/RITable[[#This Row],[Ratio]]</f>
        <v>0</v>
      </c>
      <c r="H799" s="12"/>
      <c r="I799" s="10">
        <f>RITable[[#This Row],[Price (3y)]]/RITable[[#This Row],[Ratio]] / 3</f>
        <v>0</v>
      </c>
    </row>
    <row r="800" spans="1:9" x14ac:dyDescent="0.3">
      <c r="A800" t="s">
        <v>737</v>
      </c>
      <c r="B800" t="s">
        <v>742</v>
      </c>
      <c r="C800">
        <v>2</v>
      </c>
      <c r="E800" s="12"/>
      <c r="F800" s="11">
        <f>RITable[[#This Row],[Price (1y)]]/RITable[[#This Row],[Ratio]]</f>
        <v>0</v>
      </c>
      <c r="H800" s="12"/>
      <c r="I800" s="10">
        <f>RITable[[#This Row],[Price (3y)]]/RITable[[#This Row],[Ratio]] / 3</f>
        <v>0</v>
      </c>
    </row>
    <row r="801" spans="1:9" x14ac:dyDescent="0.3">
      <c r="A801" t="s">
        <v>737</v>
      </c>
      <c r="B801" t="s">
        <v>743</v>
      </c>
      <c r="C801">
        <v>2</v>
      </c>
      <c r="E801" s="12"/>
      <c r="F801" s="11">
        <f>RITable[[#This Row],[Price (1y)]]/RITable[[#This Row],[Ratio]]</f>
        <v>0</v>
      </c>
      <c r="H801" s="12"/>
      <c r="I801" s="10">
        <f>RITable[[#This Row],[Price (3y)]]/RITable[[#This Row],[Ratio]] / 3</f>
        <v>0</v>
      </c>
    </row>
    <row r="802" spans="1:9" x14ac:dyDescent="0.3">
      <c r="A802" t="s">
        <v>737</v>
      </c>
      <c r="B802" t="s">
        <v>741</v>
      </c>
      <c r="C802">
        <v>2</v>
      </c>
      <c r="E802" s="12"/>
      <c r="F802" s="11">
        <f>RITable[[#This Row],[Price (1y)]]/RITable[[#This Row],[Ratio]]</f>
        <v>0</v>
      </c>
      <c r="H802" s="12"/>
      <c r="I802" s="10">
        <f>RITable[[#This Row],[Price (3y)]]/RITable[[#This Row],[Ratio]] / 3</f>
        <v>0</v>
      </c>
    </row>
    <row r="803" spans="1:9" x14ac:dyDescent="0.3">
      <c r="A803" t="s">
        <v>737</v>
      </c>
      <c r="B803" t="s">
        <v>746</v>
      </c>
      <c r="C803">
        <v>4</v>
      </c>
      <c r="E803" s="12"/>
      <c r="F803" s="11">
        <f>RITable[[#This Row],[Price (1y)]]/RITable[[#This Row],[Ratio]]</f>
        <v>0</v>
      </c>
      <c r="H803" s="12"/>
      <c r="I803" s="10">
        <f>RITable[[#This Row],[Price (3y)]]/RITable[[#This Row],[Ratio]] / 3</f>
        <v>0</v>
      </c>
    </row>
    <row r="804" spans="1:9" x14ac:dyDescent="0.3">
      <c r="A804" t="s">
        <v>737</v>
      </c>
      <c r="B804" t="s">
        <v>745</v>
      </c>
      <c r="C804">
        <v>4</v>
      </c>
      <c r="E804" s="12"/>
      <c r="F804" s="11">
        <f>RITable[[#This Row],[Price (1y)]]/RITable[[#This Row],[Ratio]]</f>
        <v>0</v>
      </c>
      <c r="H804" s="12"/>
      <c r="I804" s="10">
        <f>RITable[[#This Row],[Price (3y)]]/RITable[[#This Row],[Ratio]] / 3</f>
        <v>0</v>
      </c>
    </row>
    <row r="805" spans="1:9" x14ac:dyDescent="0.3">
      <c r="A805" t="s">
        <v>737</v>
      </c>
      <c r="B805" t="s">
        <v>744</v>
      </c>
      <c r="C805">
        <v>4</v>
      </c>
      <c r="E805" s="12"/>
      <c r="F805" s="11">
        <f>RITable[[#This Row],[Price (1y)]]/RITable[[#This Row],[Ratio]]</f>
        <v>0</v>
      </c>
      <c r="H805" s="12"/>
      <c r="I805" s="10">
        <f>RITable[[#This Row],[Price (3y)]]/RITable[[#This Row],[Ratio]] / 3</f>
        <v>0</v>
      </c>
    </row>
    <row r="806" spans="1:9" x14ac:dyDescent="0.3">
      <c r="A806" t="s">
        <v>48</v>
      </c>
      <c r="B806" t="s">
        <v>747</v>
      </c>
      <c r="C806">
        <v>1</v>
      </c>
      <c r="E806" s="12"/>
      <c r="F806" s="11">
        <f>RITable[[#This Row],[Price (1y)]]/RITable[[#This Row],[Ratio]]</f>
        <v>0</v>
      </c>
      <c r="H806" s="12"/>
      <c r="I806" s="10">
        <f>RITable[[#This Row],[Price (3y)]]/RITable[[#This Row],[Ratio]] / 3</f>
        <v>0</v>
      </c>
    </row>
    <row r="807" spans="1:9" x14ac:dyDescent="0.3">
      <c r="A807" t="s">
        <v>48</v>
      </c>
      <c r="B807" t="s">
        <v>748</v>
      </c>
      <c r="C807">
        <v>1.8846875000000001</v>
      </c>
      <c r="E807" s="12"/>
      <c r="F807" s="11">
        <f>RITable[[#This Row],[Price (1y)]]/RITable[[#This Row],[Ratio]]</f>
        <v>0</v>
      </c>
      <c r="H807" s="12"/>
      <c r="I807" s="10">
        <f>RITable[[#This Row],[Price (3y)]]/RITable[[#This Row],[Ratio]] / 3</f>
        <v>0</v>
      </c>
    </row>
    <row r="808" spans="1:9" x14ac:dyDescent="0.3">
      <c r="A808" t="s">
        <v>749</v>
      </c>
      <c r="B808" t="s">
        <v>750</v>
      </c>
      <c r="C808">
        <v>1</v>
      </c>
      <c r="E808" s="12"/>
      <c r="F808" s="11">
        <f>RITable[[#This Row],[Price (1y)]]/RITable[[#This Row],[Ratio]]</f>
        <v>0</v>
      </c>
      <c r="H808" s="12"/>
      <c r="I808" s="10">
        <f>RITable[[#This Row],[Price (3y)]]/RITable[[#This Row],[Ratio]] / 3</f>
        <v>0</v>
      </c>
    </row>
    <row r="809" spans="1:9" x14ac:dyDescent="0.3">
      <c r="A809" t="s">
        <v>751</v>
      </c>
      <c r="B809" t="s">
        <v>752</v>
      </c>
      <c r="C809">
        <v>1</v>
      </c>
      <c r="E809" s="12"/>
      <c r="F809" s="11">
        <f>RITable[[#This Row],[Price (1y)]]/RITable[[#This Row],[Ratio]]</f>
        <v>0</v>
      </c>
      <c r="H809" s="12"/>
      <c r="I809" s="10">
        <f>RITable[[#This Row],[Price (3y)]]/RITable[[#This Row],[Ratio]] / 3</f>
        <v>0</v>
      </c>
    </row>
    <row r="810" spans="1:9" x14ac:dyDescent="0.3">
      <c r="A810" t="s">
        <v>753</v>
      </c>
      <c r="B810" t="s">
        <v>754</v>
      </c>
      <c r="C810">
        <v>1</v>
      </c>
      <c r="E810" s="12"/>
      <c r="F810" s="11">
        <f>RITable[[#This Row],[Price (1y)]]/RITable[[#This Row],[Ratio]]</f>
        <v>0</v>
      </c>
      <c r="H810" s="12"/>
      <c r="I810" s="10">
        <f>RITable[[#This Row],[Price (3y)]]/RITable[[#This Row],[Ratio]] / 3</f>
        <v>0</v>
      </c>
    </row>
    <row r="811" spans="1:9" x14ac:dyDescent="0.3">
      <c r="A811" t="s">
        <v>753</v>
      </c>
      <c r="B811" t="s">
        <v>755</v>
      </c>
      <c r="C811">
        <v>1</v>
      </c>
      <c r="E811" s="12"/>
      <c r="F811" s="11">
        <f>RITable[[#This Row],[Price (1y)]]/RITable[[#This Row],[Ratio]]</f>
        <v>0</v>
      </c>
      <c r="H811" s="12"/>
      <c r="I811" s="10">
        <f>RITable[[#This Row],[Price (3y)]]/RITable[[#This Row],[Ratio]] / 3</f>
        <v>0</v>
      </c>
    </row>
    <row r="812" spans="1:9" x14ac:dyDescent="0.3">
      <c r="A812" t="s">
        <v>753</v>
      </c>
      <c r="B812" t="s">
        <v>756</v>
      </c>
      <c r="C812">
        <v>1</v>
      </c>
      <c r="E812" s="12"/>
      <c r="F812" s="11">
        <f>RITable[[#This Row],[Price (1y)]]/RITable[[#This Row],[Ratio]]</f>
        <v>0</v>
      </c>
      <c r="H812" s="12"/>
      <c r="I812" s="10">
        <f>RITable[[#This Row],[Price (3y)]]/RITable[[#This Row],[Ratio]] / 3</f>
        <v>0</v>
      </c>
    </row>
    <row r="813" spans="1:9" x14ac:dyDescent="0.3">
      <c r="A813" t="s">
        <v>753</v>
      </c>
      <c r="B813" t="s">
        <v>757</v>
      </c>
      <c r="C813">
        <v>1</v>
      </c>
      <c r="E813" s="12"/>
      <c r="F813" s="11">
        <f>RITable[[#This Row],[Price (1y)]]/RITable[[#This Row],[Ratio]]</f>
        <v>0</v>
      </c>
      <c r="H813" s="12"/>
      <c r="I813" s="10">
        <f>RITable[[#This Row],[Price (3y)]]/RITable[[#This Row],[Ratio]] / 3</f>
        <v>0</v>
      </c>
    </row>
    <row r="814" spans="1:9" x14ac:dyDescent="0.3">
      <c r="A814" t="s">
        <v>753</v>
      </c>
      <c r="B814" t="s">
        <v>759</v>
      </c>
      <c r="C814">
        <v>2</v>
      </c>
      <c r="E814" s="12"/>
      <c r="F814" s="11">
        <f>RITable[[#This Row],[Price (1y)]]/RITable[[#This Row],[Ratio]]</f>
        <v>0</v>
      </c>
      <c r="H814" s="12"/>
      <c r="I814" s="10">
        <f>RITable[[#This Row],[Price (3y)]]/RITable[[#This Row],[Ratio]] / 3</f>
        <v>0</v>
      </c>
    </row>
    <row r="815" spans="1:9" x14ac:dyDescent="0.3">
      <c r="A815" t="s">
        <v>753</v>
      </c>
      <c r="B815" t="s">
        <v>760</v>
      </c>
      <c r="C815">
        <v>2</v>
      </c>
      <c r="E815" s="12"/>
      <c r="F815" s="11">
        <f>RITable[[#This Row],[Price (1y)]]/RITable[[#This Row],[Ratio]]</f>
        <v>0</v>
      </c>
      <c r="H815" s="12"/>
      <c r="I815" s="10">
        <f>RITable[[#This Row],[Price (3y)]]/RITable[[#This Row],[Ratio]] / 3</f>
        <v>0</v>
      </c>
    </row>
    <row r="816" spans="1:9" x14ac:dyDescent="0.3">
      <c r="A816" t="s">
        <v>753</v>
      </c>
      <c r="B816" t="s">
        <v>761</v>
      </c>
      <c r="C816">
        <v>2</v>
      </c>
      <c r="E816" s="12"/>
      <c r="F816" s="11">
        <f>RITable[[#This Row],[Price (1y)]]/RITable[[#This Row],[Ratio]]</f>
        <v>0</v>
      </c>
      <c r="H816" s="12"/>
      <c r="I816" s="10">
        <f>RITable[[#This Row],[Price (3y)]]/RITable[[#This Row],[Ratio]] / 3</f>
        <v>0</v>
      </c>
    </row>
    <row r="817" spans="1:9" x14ac:dyDescent="0.3">
      <c r="A817" t="s">
        <v>753</v>
      </c>
      <c r="B817" t="s">
        <v>758</v>
      </c>
      <c r="C817">
        <v>2</v>
      </c>
      <c r="E817" s="12"/>
      <c r="F817" s="11">
        <f>RITable[[#This Row],[Price (1y)]]/RITable[[#This Row],[Ratio]]</f>
        <v>0</v>
      </c>
      <c r="H817" s="12"/>
      <c r="I817" s="10">
        <f>RITable[[#This Row],[Price (3y)]]/RITable[[#This Row],[Ratio]] / 3</f>
        <v>0</v>
      </c>
    </row>
    <row r="818" spans="1:9" x14ac:dyDescent="0.3">
      <c r="A818" t="s">
        <v>762</v>
      </c>
      <c r="B818" t="s">
        <v>764</v>
      </c>
      <c r="C818">
        <v>1</v>
      </c>
      <c r="E818" s="12"/>
      <c r="F818" s="11">
        <f>RITable[[#This Row],[Price (1y)]]/RITable[[#This Row],[Ratio]]</f>
        <v>0</v>
      </c>
      <c r="H818" s="12"/>
      <c r="I818" s="10">
        <f>RITable[[#This Row],[Price (3y)]]/RITable[[#This Row],[Ratio]] / 3</f>
        <v>0</v>
      </c>
    </row>
    <row r="819" spans="1:9" x14ac:dyDescent="0.3">
      <c r="A819" t="s">
        <v>762</v>
      </c>
      <c r="B819" t="s">
        <v>763</v>
      </c>
      <c r="C819">
        <v>1</v>
      </c>
      <c r="E819" s="12"/>
      <c r="F819" s="11">
        <f>RITable[[#This Row],[Price (1y)]]/RITable[[#This Row],[Ratio]]</f>
        <v>0</v>
      </c>
      <c r="H819" s="12"/>
      <c r="I819" s="10">
        <f>RITable[[#This Row],[Price (3y)]]/RITable[[#This Row],[Ratio]] / 3</f>
        <v>0</v>
      </c>
    </row>
    <row r="820" spans="1:9" x14ac:dyDescent="0.3">
      <c r="A820" t="s">
        <v>762</v>
      </c>
      <c r="B820" t="s">
        <v>765</v>
      </c>
      <c r="C820">
        <v>1</v>
      </c>
      <c r="E820" s="12"/>
      <c r="F820" s="11">
        <f>RITable[[#This Row],[Price (1y)]]/RITable[[#This Row],[Ratio]]</f>
        <v>0</v>
      </c>
      <c r="H820" s="12"/>
      <c r="I820" s="10">
        <f>RITable[[#This Row],[Price (3y)]]/RITable[[#This Row],[Ratio]] / 3</f>
        <v>0</v>
      </c>
    </row>
    <row r="821" spans="1:9" x14ac:dyDescent="0.3">
      <c r="A821" t="s">
        <v>762</v>
      </c>
      <c r="B821" t="s">
        <v>768</v>
      </c>
      <c r="C821">
        <v>2</v>
      </c>
      <c r="E821" s="12"/>
      <c r="F821" s="11">
        <f>RITable[[#This Row],[Price (1y)]]/RITable[[#This Row],[Ratio]]</f>
        <v>0</v>
      </c>
      <c r="H821" s="12"/>
      <c r="I821" s="10">
        <f>RITable[[#This Row],[Price (3y)]]/RITable[[#This Row],[Ratio]] / 3</f>
        <v>0</v>
      </c>
    </row>
    <row r="822" spans="1:9" x14ac:dyDescent="0.3">
      <c r="A822" t="s">
        <v>762</v>
      </c>
      <c r="B822" t="s">
        <v>769</v>
      </c>
      <c r="C822">
        <v>2</v>
      </c>
      <c r="E822" s="12"/>
      <c r="F822" s="11">
        <f>RITable[[#This Row],[Price (1y)]]/RITable[[#This Row],[Ratio]]</f>
        <v>0</v>
      </c>
      <c r="H822" s="12"/>
      <c r="I822" s="10">
        <f>RITable[[#This Row],[Price (3y)]]/RITable[[#This Row],[Ratio]] / 3</f>
        <v>0</v>
      </c>
    </row>
    <row r="823" spans="1:9" x14ac:dyDescent="0.3">
      <c r="A823" t="s">
        <v>762</v>
      </c>
      <c r="B823" t="s">
        <v>767</v>
      </c>
      <c r="C823">
        <v>2</v>
      </c>
      <c r="E823" s="12"/>
      <c r="F823" s="11">
        <f>RITable[[#This Row],[Price (1y)]]/RITable[[#This Row],[Ratio]]</f>
        <v>0</v>
      </c>
      <c r="H823" s="12"/>
      <c r="I823" s="10">
        <f>RITable[[#This Row],[Price (3y)]]/RITable[[#This Row],[Ratio]] / 3</f>
        <v>0</v>
      </c>
    </row>
    <row r="824" spans="1:9" x14ac:dyDescent="0.3">
      <c r="A824" t="s">
        <v>762</v>
      </c>
      <c r="B824" t="s">
        <v>766</v>
      </c>
      <c r="C824">
        <v>2</v>
      </c>
      <c r="E824" s="12"/>
      <c r="F824" s="11">
        <f>RITable[[#This Row],[Price (1y)]]/RITable[[#This Row],[Ratio]]</f>
        <v>0</v>
      </c>
      <c r="H824" s="12"/>
      <c r="I824" s="10">
        <f>RITable[[#This Row],[Price (3y)]]/RITable[[#This Row],[Ratio]] / 3</f>
        <v>0</v>
      </c>
    </row>
    <row r="825" spans="1:9" x14ac:dyDescent="0.3">
      <c r="A825" t="s">
        <v>770</v>
      </c>
      <c r="B825" t="s">
        <v>771</v>
      </c>
      <c r="C825">
        <v>1</v>
      </c>
      <c r="E825" s="12"/>
      <c r="F825" s="11">
        <f>RITable[[#This Row],[Price (1y)]]/RITable[[#This Row],[Ratio]]</f>
        <v>0</v>
      </c>
      <c r="H825" s="12"/>
      <c r="I825" s="10">
        <f>RITable[[#This Row],[Price (3y)]]/RITable[[#This Row],[Ratio]] / 3</f>
        <v>0</v>
      </c>
    </row>
    <row r="826" spans="1:9" x14ac:dyDescent="0.3">
      <c r="A826" t="s">
        <v>772</v>
      </c>
      <c r="B826" t="s">
        <v>773</v>
      </c>
      <c r="C826">
        <v>1</v>
      </c>
      <c r="E826" s="12"/>
      <c r="F826" s="11">
        <f>RITable[[#This Row],[Price (1y)]]/RITable[[#This Row],[Ratio]]</f>
        <v>0</v>
      </c>
      <c r="H826" s="12"/>
      <c r="I826" s="10">
        <f>RITable[[#This Row],[Price (3y)]]/RITable[[#This Row],[Ratio]] / 3</f>
        <v>0</v>
      </c>
    </row>
    <row r="827" spans="1:9" x14ac:dyDescent="0.3">
      <c r="A827" t="s">
        <v>774</v>
      </c>
      <c r="B827" t="s">
        <v>775</v>
      </c>
      <c r="C827">
        <v>1</v>
      </c>
      <c r="E827" s="12"/>
      <c r="F827" s="11">
        <f>RITable[[#This Row],[Price (1y)]]/RITable[[#This Row],[Ratio]]</f>
        <v>0</v>
      </c>
      <c r="H827" s="12"/>
      <c r="I827" s="10">
        <f>RITable[[#This Row],[Price (3y)]]/RITable[[#This Row],[Ratio]] / 3</f>
        <v>0</v>
      </c>
    </row>
    <row r="828" spans="1:9" x14ac:dyDescent="0.3">
      <c r="A828" t="s">
        <v>776</v>
      </c>
      <c r="B828" t="s">
        <v>777</v>
      </c>
      <c r="C828">
        <v>1</v>
      </c>
      <c r="E828" s="12"/>
      <c r="F828" s="11">
        <f>RITable[[#This Row],[Price (1y)]]/RITable[[#This Row],[Ratio]]</f>
        <v>0</v>
      </c>
      <c r="H828" s="12"/>
      <c r="I828" s="10">
        <f>RITable[[#This Row],[Price (3y)]]/RITable[[#This Row],[Ratio]] / 3</f>
        <v>0</v>
      </c>
    </row>
    <row r="829" spans="1:9" x14ac:dyDescent="0.3">
      <c r="A829" t="s">
        <v>778</v>
      </c>
      <c r="B829" t="s">
        <v>779</v>
      </c>
      <c r="C829">
        <v>1</v>
      </c>
      <c r="E829" s="12"/>
      <c r="F829" s="11">
        <f>RITable[[#This Row],[Price (1y)]]/RITable[[#This Row],[Ratio]]</f>
        <v>0</v>
      </c>
      <c r="H829" s="12"/>
      <c r="I829" s="10">
        <f>RITable[[#This Row],[Price (3y)]]/RITable[[#This Row],[Ratio]] / 3</f>
        <v>0</v>
      </c>
    </row>
    <row r="830" spans="1:9" x14ac:dyDescent="0.3">
      <c r="A830" t="s">
        <v>780</v>
      </c>
      <c r="B830" t="s">
        <v>781</v>
      </c>
      <c r="C830">
        <v>1</v>
      </c>
      <c r="E830" s="12"/>
      <c r="F830" s="11">
        <f>RITable[[#This Row],[Price (1y)]]/RITable[[#This Row],[Ratio]]</f>
        <v>0</v>
      </c>
      <c r="H830" s="12"/>
      <c r="I830" s="10">
        <f>RITable[[#This Row],[Price (3y)]]/RITable[[#This Row],[Ratio]] / 3</f>
        <v>0</v>
      </c>
    </row>
    <row r="831" spans="1:9" x14ac:dyDescent="0.3">
      <c r="A831" t="s">
        <v>780</v>
      </c>
      <c r="B831" t="s">
        <v>782</v>
      </c>
      <c r="C831">
        <v>2</v>
      </c>
      <c r="E831" s="12"/>
      <c r="F831" s="11">
        <f>RITable[[#This Row],[Price (1y)]]/RITable[[#This Row],[Ratio]]</f>
        <v>0</v>
      </c>
      <c r="H831" s="12"/>
      <c r="I831" s="10">
        <f>RITable[[#This Row],[Price (3y)]]/RITable[[#This Row],[Ratio]] / 3</f>
        <v>0</v>
      </c>
    </row>
    <row r="832" spans="1:9" x14ac:dyDescent="0.3">
      <c r="A832" t="s">
        <v>780</v>
      </c>
      <c r="B832" t="s">
        <v>783</v>
      </c>
      <c r="C832">
        <v>4</v>
      </c>
      <c r="E832" s="12"/>
      <c r="F832" s="11">
        <f>RITable[[#This Row],[Price (1y)]]/RITable[[#This Row],[Ratio]]</f>
        <v>0</v>
      </c>
      <c r="H832" s="12"/>
      <c r="I832" s="10">
        <f>RITable[[#This Row],[Price (3y)]]/RITable[[#This Row],[Ratio]] / 3</f>
        <v>0</v>
      </c>
    </row>
    <row r="833" spans="1:9" x14ac:dyDescent="0.3">
      <c r="A833" t="s">
        <v>780</v>
      </c>
      <c r="B833" t="s">
        <v>784</v>
      </c>
      <c r="C833">
        <v>8</v>
      </c>
      <c r="E833" s="12"/>
      <c r="F833" s="11">
        <f>RITable[[#This Row],[Price (1y)]]/RITable[[#This Row],[Ratio]]</f>
        <v>0</v>
      </c>
      <c r="H833" s="12"/>
      <c r="I833" s="10">
        <f>RITable[[#This Row],[Price (3y)]]/RITable[[#This Row],[Ratio]] / 3</f>
        <v>0</v>
      </c>
    </row>
    <row r="834" spans="1:9" x14ac:dyDescent="0.3">
      <c r="A834" t="s">
        <v>785</v>
      </c>
      <c r="B834" t="s">
        <v>786</v>
      </c>
      <c r="C834">
        <v>1</v>
      </c>
      <c r="E834" s="12"/>
      <c r="F834" s="11">
        <f>RITable[[#This Row],[Price (1y)]]/RITable[[#This Row],[Ratio]]</f>
        <v>0</v>
      </c>
      <c r="H834" s="12"/>
      <c r="I834" s="10">
        <f>RITable[[#This Row],[Price (3y)]]/RITable[[#This Row],[Ratio]] / 3</f>
        <v>0</v>
      </c>
    </row>
    <row r="835" spans="1:9" x14ac:dyDescent="0.3">
      <c r="A835" t="s">
        <v>785</v>
      </c>
      <c r="B835" t="s">
        <v>787</v>
      </c>
      <c r="C835">
        <v>2</v>
      </c>
      <c r="E835" s="12"/>
      <c r="F835" s="11">
        <f>RITable[[#This Row],[Price (1y)]]/RITable[[#This Row],[Ratio]]</f>
        <v>0</v>
      </c>
      <c r="H835" s="12"/>
      <c r="I835" s="10">
        <f>RITable[[#This Row],[Price (3y)]]/RITable[[#This Row],[Ratio]] / 3</f>
        <v>0</v>
      </c>
    </row>
    <row r="836" spans="1:9" x14ac:dyDescent="0.3">
      <c r="A836" t="s">
        <v>785</v>
      </c>
      <c r="B836" t="s">
        <v>788</v>
      </c>
      <c r="C836">
        <v>4</v>
      </c>
      <c r="E836" s="12"/>
      <c r="F836" s="11">
        <f>RITable[[#This Row],[Price (1y)]]/RITable[[#This Row],[Ratio]]</f>
        <v>0</v>
      </c>
      <c r="H836" s="12"/>
      <c r="I836" s="10">
        <f>RITable[[#This Row],[Price (3y)]]/RITable[[#This Row],[Ratio]] / 3</f>
        <v>0</v>
      </c>
    </row>
    <row r="837" spans="1:9" x14ac:dyDescent="0.3">
      <c r="A837" t="s">
        <v>785</v>
      </c>
      <c r="B837" t="s">
        <v>789</v>
      </c>
      <c r="C837">
        <v>8</v>
      </c>
      <c r="E837" s="12"/>
      <c r="F837" s="11">
        <f>RITable[[#This Row],[Price (1y)]]/RITable[[#This Row],[Ratio]]</f>
        <v>0</v>
      </c>
      <c r="H837" s="12"/>
      <c r="I837" s="10">
        <f>RITable[[#This Row],[Price (3y)]]/RITable[[#This Row],[Ratio]] / 3</f>
        <v>0</v>
      </c>
    </row>
    <row r="838" spans="1:9" x14ac:dyDescent="0.3">
      <c r="A838" t="s">
        <v>790</v>
      </c>
      <c r="B838" t="s">
        <v>791</v>
      </c>
      <c r="C838">
        <v>1</v>
      </c>
      <c r="E838" s="12"/>
      <c r="F838" s="11">
        <f>RITable[[#This Row],[Price (1y)]]/RITable[[#This Row],[Ratio]]</f>
        <v>0</v>
      </c>
      <c r="H838" s="12"/>
      <c r="I838" s="10">
        <f>RITable[[#This Row],[Price (3y)]]/RITable[[#This Row],[Ratio]] / 3</f>
        <v>0</v>
      </c>
    </row>
    <row r="839" spans="1:9" x14ac:dyDescent="0.3">
      <c r="A839" t="s">
        <v>792</v>
      </c>
      <c r="B839" t="s">
        <v>793</v>
      </c>
      <c r="C839">
        <v>1</v>
      </c>
      <c r="E839" s="12"/>
      <c r="F839" s="11">
        <f>RITable[[#This Row],[Price (1y)]]/RITable[[#This Row],[Ratio]]</f>
        <v>0</v>
      </c>
      <c r="H839" s="12"/>
      <c r="I839" s="10">
        <f>RITable[[#This Row],[Price (3y)]]/RITable[[#This Row],[Ratio]] / 3</f>
        <v>0</v>
      </c>
    </row>
    <row r="840" spans="1:9" x14ac:dyDescent="0.3">
      <c r="A840" t="s">
        <v>794</v>
      </c>
      <c r="B840" t="s">
        <v>796</v>
      </c>
      <c r="C840">
        <v>1</v>
      </c>
      <c r="E840" s="12"/>
      <c r="F840" s="11">
        <f>RITable[[#This Row],[Price (1y)]]/RITable[[#This Row],[Ratio]]</f>
        <v>0</v>
      </c>
      <c r="H840" s="12"/>
      <c r="I840" s="10">
        <f>RITable[[#This Row],[Price (3y)]]/RITable[[#This Row],[Ratio]] / 3</f>
        <v>0</v>
      </c>
    </row>
    <row r="841" spans="1:9" x14ac:dyDescent="0.3">
      <c r="A841" t="s">
        <v>794</v>
      </c>
      <c r="B841" t="s">
        <v>795</v>
      </c>
      <c r="C841">
        <v>1</v>
      </c>
      <c r="E841" s="12"/>
      <c r="F841" s="11">
        <f>RITable[[#This Row],[Price (1y)]]/RITable[[#This Row],[Ratio]]</f>
        <v>0</v>
      </c>
      <c r="H841" s="12"/>
      <c r="I841" s="10">
        <f>RITable[[#This Row],[Price (3y)]]/RITable[[#This Row],[Ratio]] / 3</f>
        <v>0</v>
      </c>
    </row>
    <row r="842" spans="1:9" x14ac:dyDescent="0.3">
      <c r="A842" t="s">
        <v>794</v>
      </c>
      <c r="B842" t="s">
        <v>797</v>
      </c>
      <c r="C842">
        <v>1</v>
      </c>
      <c r="E842" s="12"/>
      <c r="F842" s="11">
        <f>RITable[[#This Row],[Price (1y)]]/RITable[[#This Row],[Ratio]]</f>
        <v>0</v>
      </c>
      <c r="H842" s="12"/>
      <c r="I842" s="10">
        <f>RITable[[#This Row],[Price (3y)]]/RITable[[#This Row],[Ratio]] / 3</f>
        <v>0</v>
      </c>
    </row>
    <row r="843" spans="1:9" x14ac:dyDescent="0.3">
      <c r="A843" t="s">
        <v>794</v>
      </c>
      <c r="B843" t="s">
        <v>1167</v>
      </c>
      <c r="C843">
        <v>2</v>
      </c>
      <c r="E843" s="12"/>
      <c r="F843" s="11">
        <f>RITable[[#This Row],[Price (1y)]]/RITable[[#This Row],[Ratio]]</f>
        <v>0</v>
      </c>
      <c r="H843" s="12"/>
      <c r="I843" s="10">
        <f>RITable[[#This Row],[Price (3y)]]/RITable[[#This Row],[Ratio]] / 3</f>
        <v>0</v>
      </c>
    </row>
    <row r="844" spans="1:9" x14ac:dyDescent="0.3">
      <c r="A844" t="s">
        <v>794</v>
      </c>
      <c r="B844" t="s">
        <v>800</v>
      </c>
      <c r="C844">
        <v>2</v>
      </c>
      <c r="E844" s="12"/>
      <c r="F844" s="11">
        <f>RITable[[#This Row],[Price (1y)]]/RITable[[#This Row],[Ratio]]</f>
        <v>0</v>
      </c>
      <c r="H844" s="12"/>
      <c r="I844" s="10">
        <f>RITable[[#This Row],[Price (3y)]]/RITable[[#This Row],[Ratio]] / 3</f>
        <v>0</v>
      </c>
    </row>
    <row r="845" spans="1:9" x14ac:dyDescent="0.3">
      <c r="A845" t="s">
        <v>794</v>
      </c>
      <c r="B845" t="s">
        <v>798</v>
      </c>
      <c r="C845">
        <v>2</v>
      </c>
      <c r="E845" s="12"/>
      <c r="F845" s="11">
        <f>RITable[[#This Row],[Price (1y)]]/RITable[[#This Row],[Ratio]]</f>
        <v>0</v>
      </c>
      <c r="H845" s="12"/>
      <c r="I845" s="10">
        <f>RITable[[#This Row],[Price (3y)]]/RITable[[#This Row],[Ratio]] / 3</f>
        <v>0</v>
      </c>
    </row>
    <row r="846" spans="1:9" x14ac:dyDescent="0.3">
      <c r="A846" t="s">
        <v>794</v>
      </c>
      <c r="B846" t="s">
        <v>799</v>
      </c>
      <c r="C846">
        <v>2</v>
      </c>
      <c r="E846" s="12"/>
      <c r="F846" s="11">
        <f>RITable[[#This Row],[Price (1y)]]/RITable[[#This Row],[Ratio]]</f>
        <v>0</v>
      </c>
      <c r="H846" s="12"/>
      <c r="I846" s="10">
        <f>RITable[[#This Row],[Price (3y)]]/RITable[[#This Row],[Ratio]] / 3</f>
        <v>0</v>
      </c>
    </row>
    <row r="847" spans="1:9" x14ac:dyDescent="0.3">
      <c r="A847" t="s">
        <v>801</v>
      </c>
      <c r="B847" t="s">
        <v>802</v>
      </c>
      <c r="C847">
        <v>1</v>
      </c>
      <c r="E847" s="12"/>
      <c r="F847" s="11">
        <f>RITable[[#This Row],[Price (1y)]]/RITable[[#This Row],[Ratio]]</f>
        <v>0</v>
      </c>
      <c r="H847" s="12"/>
      <c r="I847" s="10">
        <f>RITable[[#This Row],[Price (3y)]]/RITable[[#This Row],[Ratio]] / 3</f>
        <v>0</v>
      </c>
    </row>
    <row r="848" spans="1:9" x14ac:dyDescent="0.3">
      <c r="A848" t="s">
        <v>803</v>
      </c>
      <c r="B848" t="s">
        <v>804</v>
      </c>
      <c r="C848">
        <v>1</v>
      </c>
      <c r="E848" s="12"/>
      <c r="F848" s="11">
        <f>RITable[[#This Row],[Price (1y)]]/RITable[[#This Row],[Ratio]]</f>
        <v>0</v>
      </c>
      <c r="H848" s="12"/>
      <c r="I848" s="10">
        <f>RITable[[#This Row],[Price (3y)]]/RITable[[#This Row],[Ratio]] / 3</f>
        <v>0</v>
      </c>
    </row>
    <row r="849" spans="1:9" x14ac:dyDescent="0.3">
      <c r="A849" t="s">
        <v>805</v>
      </c>
      <c r="B849" t="s">
        <v>806</v>
      </c>
      <c r="C849">
        <v>1</v>
      </c>
      <c r="E849" s="12"/>
      <c r="F849" s="11">
        <f>RITable[[#This Row],[Price (1y)]]/RITable[[#This Row],[Ratio]]</f>
        <v>0</v>
      </c>
      <c r="H849" s="12"/>
      <c r="I849" s="10">
        <f>RITable[[#This Row],[Price (3y)]]/RITable[[#This Row],[Ratio]] / 3</f>
        <v>0</v>
      </c>
    </row>
    <row r="850" spans="1:9" x14ac:dyDescent="0.3">
      <c r="A850" t="s">
        <v>807</v>
      </c>
      <c r="B850" t="s">
        <v>808</v>
      </c>
      <c r="C850">
        <v>1</v>
      </c>
      <c r="E850" s="12"/>
      <c r="F850" s="11">
        <f>RITable[[#This Row],[Price (1y)]]/RITable[[#This Row],[Ratio]]</f>
        <v>0</v>
      </c>
      <c r="H850" s="12"/>
      <c r="I850" s="10">
        <f>RITable[[#This Row],[Price (3y)]]/RITable[[#This Row],[Ratio]] / 3</f>
        <v>0</v>
      </c>
    </row>
    <row r="851" spans="1:9" x14ac:dyDescent="0.3">
      <c r="A851" t="s">
        <v>809</v>
      </c>
      <c r="B851" t="s">
        <v>810</v>
      </c>
      <c r="C851">
        <v>1</v>
      </c>
      <c r="E851" s="12"/>
      <c r="F851" s="11">
        <f>RITable[[#This Row],[Price (1y)]]/RITable[[#This Row],[Ratio]]</f>
        <v>0</v>
      </c>
      <c r="H851" s="12"/>
      <c r="I851" s="10">
        <f>RITable[[#This Row],[Price (3y)]]/RITable[[#This Row],[Ratio]] / 3</f>
        <v>0</v>
      </c>
    </row>
    <row r="852" spans="1:9" x14ac:dyDescent="0.3">
      <c r="A852" t="s">
        <v>809</v>
      </c>
      <c r="B852" t="s">
        <v>811</v>
      </c>
      <c r="C852">
        <v>1</v>
      </c>
      <c r="E852" s="12"/>
      <c r="F852" s="11">
        <f>RITable[[#This Row],[Price (1y)]]/RITable[[#This Row],[Ratio]]</f>
        <v>0</v>
      </c>
      <c r="H852" s="12"/>
      <c r="I852" s="10">
        <f>RITable[[#This Row],[Price (3y)]]/RITable[[#This Row],[Ratio]] / 3</f>
        <v>0</v>
      </c>
    </row>
    <row r="853" spans="1:9" x14ac:dyDescent="0.3">
      <c r="A853" t="s">
        <v>812</v>
      </c>
      <c r="B853" t="s">
        <v>813</v>
      </c>
      <c r="C853">
        <v>1</v>
      </c>
      <c r="E853" s="12"/>
      <c r="F853" s="11">
        <f>RITable[[#This Row],[Price (1y)]]/RITable[[#This Row],[Ratio]]</f>
        <v>0</v>
      </c>
      <c r="H853" s="12"/>
      <c r="I853" s="10">
        <f>RITable[[#This Row],[Price (3y)]]/RITable[[#This Row],[Ratio]] / 3</f>
        <v>0</v>
      </c>
    </row>
    <row r="854" spans="1:9" x14ac:dyDescent="0.3">
      <c r="A854" t="s">
        <v>814</v>
      </c>
      <c r="B854" t="s">
        <v>815</v>
      </c>
      <c r="C854">
        <v>1</v>
      </c>
      <c r="E854" s="12"/>
      <c r="F854" s="11">
        <f>RITable[[#This Row],[Price (1y)]]/RITable[[#This Row],[Ratio]]</f>
        <v>0</v>
      </c>
      <c r="H854" s="12"/>
      <c r="I854" s="10">
        <f>RITable[[#This Row],[Price (3y)]]/RITable[[#This Row],[Ratio]] / 3</f>
        <v>0</v>
      </c>
    </row>
    <row r="855" spans="1:9" x14ac:dyDescent="0.3">
      <c r="A855" t="s">
        <v>816</v>
      </c>
      <c r="B855" t="s">
        <v>817</v>
      </c>
      <c r="C855">
        <v>1</v>
      </c>
      <c r="E855" s="12"/>
      <c r="F855" s="11">
        <f>RITable[[#This Row],[Price (1y)]]/RITable[[#This Row],[Ratio]]</f>
        <v>0</v>
      </c>
      <c r="H855" s="12"/>
      <c r="I855" s="10">
        <f>RITable[[#This Row],[Price (3y)]]/RITable[[#This Row],[Ratio]] / 3</f>
        <v>0</v>
      </c>
    </row>
    <row r="856" spans="1:9" x14ac:dyDescent="0.3">
      <c r="A856" t="s">
        <v>818</v>
      </c>
      <c r="B856" t="s">
        <v>819</v>
      </c>
      <c r="C856">
        <v>1</v>
      </c>
      <c r="E856" s="12"/>
      <c r="F856" s="11">
        <f>RITable[[#This Row],[Price (1y)]]/RITable[[#This Row],[Ratio]]</f>
        <v>0</v>
      </c>
      <c r="H856" s="12"/>
      <c r="I856" s="10">
        <f>RITable[[#This Row],[Price (3y)]]/RITable[[#This Row],[Ratio]] / 3</f>
        <v>0</v>
      </c>
    </row>
    <row r="857" spans="1:9" x14ac:dyDescent="0.3">
      <c r="A857" t="s">
        <v>820</v>
      </c>
      <c r="B857" t="s">
        <v>821</v>
      </c>
      <c r="C857">
        <v>1</v>
      </c>
      <c r="E857" s="12"/>
      <c r="F857" s="11">
        <f>RITable[[#This Row],[Price (1y)]]/RITable[[#This Row],[Ratio]]</f>
        <v>0</v>
      </c>
      <c r="H857" s="12"/>
      <c r="I857" s="10">
        <f>RITable[[#This Row],[Price (3y)]]/RITable[[#This Row],[Ratio]] / 3</f>
        <v>0</v>
      </c>
    </row>
    <row r="858" spans="1:9" x14ac:dyDescent="0.3">
      <c r="A858" t="s">
        <v>822</v>
      </c>
      <c r="B858" t="s">
        <v>823</v>
      </c>
      <c r="C858">
        <v>1</v>
      </c>
      <c r="E858" s="12"/>
      <c r="F858" s="11">
        <f>RITable[[#This Row],[Price (1y)]]/RITable[[#This Row],[Ratio]]</f>
        <v>0</v>
      </c>
      <c r="H858" s="12"/>
      <c r="I858" s="10">
        <f>RITable[[#This Row],[Price (3y)]]/RITable[[#This Row],[Ratio]] / 3</f>
        <v>0</v>
      </c>
    </row>
    <row r="859" spans="1:9" x14ac:dyDescent="0.3">
      <c r="A859" t="s">
        <v>824</v>
      </c>
      <c r="B859" t="s">
        <v>825</v>
      </c>
      <c r="C859">
        <v>1</v>
      </c>
      <c r="E859" s="12"/>
      <c r="F859" s="11">
        <f>RITable[[#This Row],[Price (1y)]]/RITable[[#This Row],[Ratio]]</f>
        <v>0</v>
      </c>
      <c r="H859" s="12"/>
      <c r="I859" s="10">
        <f>RITable[[#This Row],[Price (3y)]]/RITable[[#This Row],[Ratio]] / 3</f>
        <v>0</v>
      </c>
    </row>
    <row r="860" spans="1:9" x14ac:dyDescent="0.3">
      <c r="A860" t="s">
        <v>826</v>
      </c>
      <c r="B860" t="s">
        <v>827</v>
      </c>
      <c r="C860">
        <v>1</v>
      </c>
      <c r="E860" s="12"/>
      <c r="F860" s="11">
        <f>RITable[[#This Row],[Price (1y)]]/RITable[[#This Row],[Ratio]]</f>
        <v>0</v>
      </c>
      <c r="H860" s="12"/>
      <c r="I860" s="10">
        <f>RITable[[#This Row],[Price (3y)]]/RITable[[#This Row],[Ratio]] / 3</f>
        <v>0</v>
      </c>
    </row>
    <row r="861" spans="1:9" x14ac:dyDescent="0.3">
      <c r="A861" t="s">
        <v>828</v>
      </c>
      <c r="B861" t="s">
        <v>1168</v>
      </c>
      <c r="C861">
        <v>1</v>
      </c>
      <c r="E861" s="12"/>
      <c r="F861" s="11">
        <f>RITable[[#This Row],[Price (1y)]]/RITable[[#This Row],[Ratio]]</f>
        <v>0</v>
      </c>
      <c r="H861" s="12"/>
      <c r="I861" s="10">
        <f>RITable[[#This Row],[Price (3y)]]/RITable[[#This Row],[Ratio]] / 3</f>
        <v>0</v>
      </c>
    </row>
    <row r="862" spans="1:9" x14ac:dyDescent="0.3">
      <c r="A862" t="s">
        <v>829</v>
      </c>
      <c r="B862" t="s">
        <v>1169</v>
      </c>
      <c r="C862">
        <v>1</v>
      </c>
      <c r="E862" s="12"/>
      <c r="F862" s="11">
        <f>RITable[[#This Row],[Price (1y)]]/RITable[[#This Row],[Ratio]]</f>
        <v>0</v>
      </c>
      <c r="H862" s="12"/>
      <c r="I862" s="10">
        <f>RITable[[#This Row],[Price (3y)]]/RITable[[#This Row],[Ratio]] / 3</f>
        <v>0</v>
      </c>
    </row>
    <row r="863" spans="1:9" x14ac:dyDescent="0.3">
      <c r="A863" t="s">
        <v>829</v>
      </c>
      <c r="B863" t="s">
        <v>830</v>
      </c>
      <c r="C863">
        <v>1</v>
      </c>
      <c r="E863" s="12"/>
      <c r="F863" s="11">
        <f>RITable[[#This Row],[Price (1y)]]/RITable[[#This Row],[Ratio]]</f>
        <v>0</v>
      </c>
      <c r="H863" s="12"/>
      <c r="I863" s="10">
        <f>RITable[[#This Row],[Price (3y)]]/RITable[[#This Row],[Ratio]] / 3</f>
        <v>0</v>
      </c>
    </row>
    <row r="864" spans="1:9" x14ac:dyDescent="0.3">
      <c r="A864" t="s">
        <v>831</v>
      </c>
      <c r="B864" t="s">
        <v>832</v>
      </c>
      <c r="C864">
        <v>1</v>
      </c>
      <c r="E864" s="12"/>
      <c r="F864" s="11">
        <f>RITable[[#This Row],[Price (1y)]]/RITable[[#This Row],[Ratio]]</f>
        <v>0</v>
      </c>
      <c r="H864" s="12"/>
      <c r="I864" s="10">
        <f>RITable[[#This Row],[Price (3y)]]/RITable[[#This Row],[Ratio]] / 3</f>
        <v>0</v>
      </c>
    </row>
    <row r="865" spans="1:9" x14ac:dyDescent="0.3">
      <c r="A865" t="s">
        <v>831</v>
      </c>
      <c r="B865" t="s">
        <v>833</v>
      </c>
      <c r="C865">
        <v>2</v>
      </c>
      <c r="E865" s="12"/>
      <c r="F865" s="11">
        <f>RITable[[#This Row],[Price (1y)]]/RITable[[#This Row],[Ratio]]</f>
        <v>0</v>
      </c>
      <c r="H865" s="12"/>
      <c r="I865" s="10">
        <f>RITable[[#This Row],[Price (3y)]]/RITable[[#This Row],[Ratio]] / 3</f>
        <v>0</v>
      </c>
    </row>
    <row r="866" spans="1:9" x14ac:dyDescent="0.3">
      <c r="A866" t="s">
        <v>831</v>
      </c>
      <c r="B866" t="s">
        <v>834</v>
      </c>
      <c r="C866">
        <v>4</v>
      </c>
      <c r="E866" s="12"/>
      <c r="F866" s="11">
        <f>RITable[[#This Row],[Price (1y)]]/RITable[[#This Row],[Ratio]]</f>
        <v>0</v>
      </c>
      <c r="H866" s="12"/>
      <c r="I866" s="10">
        <f>RITable[[#This Row],[Price (3y)]]/RITable[[#This Row],[Ratio]] / 3</f>
        <v>0</v>
      </c>
    </row>
    <row r="867" spans="1:9" x14ac:dyDescent="0.3">
      <c r="A867" t="s">
        <v>835</v>
      </c>
      <c r="B867" t="s">
        <v>836</v>
      </c>
      <c r="C867">
        <v>1</v>
      </c>
      <c r="E867" s="12"/>
      <c r="F867" s="11">
        <f>RITable[[#This Row],[Price (1y)]]/RITable[[#This Row],[Ratio]]</f>
        <v>0</v>
      </c>
      <c r="H867" s="12"/>
      <c r="I867" s="10">
        <f>RITable[[#This Row],[Price (3y)]]/RITable[[#This Row],[Ratio]] / 3</f>
        <v>0</v>
      </c>
    </row>
    <row r="868" spans="1:9" x14ac:dyDescent="0.3">
      <c r="A868" t="s">
        <v>837</v>
      </c>
      <c r="B868" t="s">
        <v>838</v>
      </c>
      <c r="C868">
        <v>1</v>
      </c>
      <c r="E868" s="12"/>
      <c r="F868" s="11">
        <f>RITable[[#This Row],[Price (1y)]]/RITable[[#This Row],[Ratio]]</f>
        <v>0</v>
      </c>
      <c r="H868" s="12"/>
      <c r="I868" s="10">
        <f>RITable[[#This Row],[Price (3y)]]/RITable[[#This Row],[Ratio]] / 3</f>
        <v>0</v>
      </c>
    </row>
    <row r="869" spans="1:9" x14ac:dyDescent="0.3">
      <c r="A869" t="s">
        <v>837</v>
      </c>
      <c r="B869" t="s">
        <v>839</v>
      </c>
      <c r="C869">
        <v>2</v>
      </c>
      <c r="E869" s="12"/>
      <c r="F869" s="11">
        <f>RITable[[#This Row],[Price (1y)]]/RITable[[#This Row],[Ratio]]</f>
        <v>0</v>
      </c>
      <c r="H869" s="12"/>
      <c r="I869" s="10">
        <f>RITable[[#This Row],[Price (3y)]]/RITable[[#This Row],[Ratio]] / 3</f>
        <v>0</v>
      </c>
    </row>
    <row r="870" spans="1:9" x14ac:dyDescent="0.3">
      <c r="A870" t="s">
        <v>837</v>
      </c>
      <c r="B870" t="s">
        <v>840</v>
      </c>
      <c r="C870">
        <v>4</v>
      </c>
      <c r="E870" s="12"/>
      <c r="F870" s="11">
        <f>RITable[[#This Row],[Price (1y)]]/RITable[[#This Row],[Ratio]]</f>
        <v>0</v>
      </c>
      <c r="H870" s="12"/>
      <c r="I870" s="10">
        <f>RITable[[#This Row],[Price (3y)]]/RITable[[#This Row],[Ratio]] / 3</f>
        <v>0</v>
      </c>
    </row>
    <row r="871" spans="1:9" x14ac:dyDescent="0.3">
      <c r="A871" t="s">
        <v>841</v>
      </c>
      <c r="B871" t="s">
        <v>842</v>
      </c>
      <c r="C871">
        <v>1</v>
      </c>
      <c r="E871" s="12"/>
      <c r="F871" s="11">
        <f>RITable[[#This Row],[Price (1y)]]/RITable[[#This Row],[Ratio]]</f>
        <v>0</v>
      </c>
      <c r="H871" s="12"/>
      <c r="I871" s="10">
        <f>RITable[[#This Row],[Price (3y)]]/RITable[[#This Row],[Ratio]] / 3</f>
        <v>0</v>
      </c>
    </row>
    <row r="872" spans="1:9" x14ac:dyDescent="0.3">
      <c r="A872" t="s">
        <v>843</v>
      </c>
      <c r="B872" t="s">
        <v>844</v>
      </c>
      <c r="C872">
        <v>1</v>
      </c>
      <c r="E872" s="12"/>
      <c r="F872" s="11">
        <f>RITable[[#This Row],[Price (1y)]]/RITable[[#This Row],[Ratio]]</f>
        <v>0</v>
      </c>
      <c r="H872" s="12"/>
      <c r="I872" s="10">
        <f>RITable[[#This Row],[Price (3y)]]/RITable[[#This Row],[Ratio]] / 3</f>
        <v>0</v>
      </c>
    </row>
    <row r="873" spans="1:9" x14ac:dyDescent="0.3">
      <c r="A873" t="s">
        <v>843</v>
      </c>
      <c r="B873" t="s">
        <v>845</v>
      </c>
      <c r="C873">
        <v>2</v>
      </c>
      <c r="E873" s="12"/>
      <c r="F873" s="11">
        <f>RITable[[#This Row],[Price (1y)]]/RITable[[#This Row],[Ratio]]</f>
        <v>0</v>
      </c>
      <c r="H873" s="12"/>
      <c r="I873" s="10">
        <f>RITable[[#This Row],[Price (3y)]]/RITable[[#This Row],[Ratio]] / 3</f>
        <v>0</v>
      </c>
    </row>
    <row r="874" spans="1:9" x14ac:dyDescent="0.3">
      <c r="A874" t="s">
        <v>843</v>
      </c>
      <c r="B874" t="s">
        <v>846</v>
      </c>
      <c r="C874">
        <v>4</v>
      </c>
      <c r="E874" s="12"/>
      <c r="F874" s="11">
        <f>RITable[[#This Row],[Price (1y)]]/RITable[[#This Row],[Ratio]]</f>
        <v>0</v>
      </c>
      <c r="H874" s="12"/>
      <c r="I874" s="10">
        <f>RITable[[#This Row],[Price (3y)]]/RITable[[#This Row],[Ratio]] / 3</f>
        <v>0</v>
      </c>
    </row>
    <row r="875" spans="1:9" x14ac:dyDescent="0.3">
      <c r="A875" t="s">
        <v>847</v>
      </c>
      <c r="B875" t="s">
        <v>848</v>
      </c>
      <c r="C875">
        <v>1</v>
      </c>
      <c r="E875" s="12"/>
      <c r="F875" s="11">
        <f>RITable[[#This Row],[Price (1y)]]/RITable[[#This Row],[Ratio]]</f>
        <v>0</v>
      </c>
      <c r="H875" s="12"/>
      <c r="I875" s="10">
        <f>RITable[[#This Row],[Price (3y)]]/RITable[[#This Row],[Ratio]] / 3</f>
        <v>0</v>
      </c>
    </row>
    <row r="876" spans="1:9" x14ac:dyDescent="0.3">
      <c r="A876" t="s">
        <v>849</v>
      </c>
      <c r="B876" t="s">
        <v>850</v>
      </c>
      <c r="C876">
        <v>1</v>
      </c>
      <c r="E876" s="12"/>
      <c r="F876" s="11">
        <f>RITable[[#This Row],[Price (1y)]]/RITable[[#This Row],[Ratio]]</f>
        <v>0</v>
      </c>
      <c r="H876" s="12"/>
      <c r="I876" s="10">
        <f>RITable[[#This Row],[Price (3y)]]/RITable[[#This Row],[Ratio]] / 3</f>
        <v>0</v>
      </c>
    </row>
    <row r="877" spans="1:9" x14ac:dyDescent="0.3">
      <c r="A877" t="s">
        <v>849</v>
      </c>
      <c r="B877" t="s">
        <v>851</v>
      </c>
      <c r="C877">
        <v>2</v>
      </c>
      <c r="E877" s="12"/>
      <c r="F877" s="11">
        <f>RITable[[#This Row],[Price (1y)]]/RITable[[#This Row],[Ratio]]</f>
        <v>0</v>
      </c>
      <c r="H877" s="12"/>
      <c r="I877" s="10">
        <f>RITable[[#This Row],[Price (3y)]]/RITable[[#This Row],[Ratio]] / 3</f>
        <v>0</v>
      </c>
    </row>
    <row r="878" spans="1:9" x14ac:dyDescent="0.3">
      <c r="A878" t="s">
        <v>849</v>
      </c>
      <c r="B878" t="s">
        <v>852</v>
      </c>
      <c r="C878">
        <v>4</v>
      </c>
      <c r="E878" s="12"/>
      <c r="F878" s="11">
        <f>RITable[[#This Row],[Price (1y)]]/RITable[[#This Row],[Ratio]]</f>
        <v>0</v>
      </c>
      <c r="H878" s="12"/>
      <c r="I878" s="10">
        <f>RITable[[#This Row],[Price (3y)]]/RITable[[#This Row],[Ratio]] / 3</f>
        <v>0</v>
      </c>
    </row>
    <row r="879" spans="1:9" x14ac:dyDescent="0.3">
      <c r="A879" t="s">
        <v>853</v>
      </c>
      <c r="B879" t="s">
        <v>854</v>
      </c>
      <c r="C879">
        <v>1</v>
      </c>
      <c r="E879" s="12"/>
      <c r="F879" s="11">
        <f>RITable[[#This Row],[Price (1y)]]/RITable[[#This Row],[Ratio]]</f>
        <v>0</v>
      </c>
      <c r="H879" s="12"/>
      <c r="I879" s="10">
        <f>RITable[[#This Row],[Price (3y)]]/RITable[[#This Row],[Ratio]] / 3</f>
        <v>0</v>
      </c>
    </row>
    <row r="880" spans="1:9" x14ac:dyDescent="0.3">
      <c r="A880" t="s">
        <v>853</v>
      </c>
      <c r="B880" t="s">
        <v>855</v>
      </c>
      <c r="C880">
        <v>2</v>
      </c>
      <c r="E880" s="12"/>
      <c r="F880" s="11">
        <f>RITable[[#This Row],[Price (1y)]]/RITable[[#This Row],[Ratio]]</f>
        <v>0</v>
      </c>
      <c r="H880" s="12"/>
      <c r="I880" s="10">
        <f>RITable[[#This Row],[Price (3y)]]/RITable[[#This Row],[Ratio]] / 3</f>
        <v>0</v>
      </c>
    </row>
    <row r="881" spans="1:9" x14ac:dyDescent="0.3">
      <c r="A881" t="s">
        <v>853</v>
      </c>
      <c r="B881" t="s">
        <v>856</v>
      </c>
      <c r="C881">
        <v>4</v>
      </c>
      <c r="E881" s="12"/>
      <c r="F881" s="11">
        <f>RITable[[#This Row],[Price (1y)]]/RITable[[#This Row],[Ratio]]</f>
        <v>0</v>
      </c>
      <c r="H881" s="12"/>
      <c r="I881" s="10">
        <f>RITable[[#This Row],[Price (3y)]]/RITable[[#This Row],[Ratio]] / 3</f>
        <v>0</v>
      </c>
    </row>
    <row r="882" spans="1:9" x14ac:dyDescent="0.3">
      <c r="A882" t="s">
        <v>853</v>
      </c>
      <c r="B882" t="s">
        <v>857</v>
      </c>
      <c r="C882">
        <v>16</v>
      </c>
      <c r="E882" s="12"/>
      <c r="F882" s="11">
        <f>RITable[[#This Row],[Price (1y)]]/RITable[[#This Row],[Ratio]]</f>
        <v>0</v>
      </c>
      <c r="H882" s="12"/>
      <c r="I882" s="10">
        <f>RITable[[#This Row],[Price (3y)]]/RITable[[#This Row],[Ratio]] / 3</f>
        <v>0</v>
      </c>
    </row>
    <row r="883" spans="1:9" x14ac:dyDescent="0.3">
      <c r="A883" t="s">
        <v>858</v>
      </c>
      <c r="B883" t="s">
        <v>859</v>
      </c>
      <c r="C883">
        <v>1</v>
      </c>
      <c r="E883" s="12"/>
      <c r="F883" s="11">
        <f>RITable[[#This Row],[Price (1y)]]/RITable[[#This Row],[Ratio]]</f>
        <v>0</v>
      </c>
      <c r="H883" s="12"/>
      <c r="I883" s="10">
        <f>RITable[[#This Row],[Price (3y)]]/RITable[[#This Row],[Ratio]] / 3</f>
        <v>0</v>
      </c>
    </row>
    <row r="884" spans="1:9" x14ac:dyDescent="0.3">
      <c r="A884" t="s">
        <v>858</v>
      </c>
      <c r="B884" t="s">
        <v>860</v>
      </c>
      <c r="C884">
        <v>2</v>
      </c>
      <c r="E884" s="12"/>
      <c r="F884" s="11">
        <f>RITable[[#This Row],[Price (1y)]]/RITable[[#This Row],[Ratio]]</f>
        <v>0</v>
      </c>
      <c r="H884" s="12"/>
      <c r="I884" s="10">
        <f>RITable[[#This Row],[Price (3y)]]/RITable[[#This Row],[Ratio]] / 3</f>
        <v>0</v>
      </c>
    </row>
    <row r="885" spans="1:9" x14ac:dyDescent="0.3">
      <c r="A885" t="s">
        <v>858</v>
      </c>
      <c r="B885" t="s">
        <v>861</v>
      </c>
      <c r="C885">
        <v>4</v>
      </c>
      <c r="E885" s="12"/>
      <c r="F885" s="11">
        <f>RITable[[#This Row],[Price (1y)]]/RITable[[#This Row],[Ratio]]</f>
        <v>0</v>
      </c>
      <c r="H885" s="12"/>
      <c r="I885" s="10">
        <f>RITable[[#This Row],[Price (3y)]]/RITable[[#This Row],[Ratio]] / 3</f>
        <v>0</v>
      </c>
    </row>
    <row r="886" spans="1:9" x14ac:dyDescent="0.3">
      <c r="A886" t="s">
        <v>862</v>
      </c>
      <c r="B886" t="s">
        <v>863</v>
      </c>
      <c r="C886">
        <v>1</v>
      </c>
      <c r="E886" s="12"/>
      <c r="F886" s="11">
        <f>RITable[[#This Row],[Price (1y)]]/RITable[[#This Row],[Ratio]]</f>
        <v>0</v>
      </c>
      <c r="H886" s="12"/>
      <c r="I886" s="10">
        <f>RITable[[#This Row],[Price (3y)]]/RITable[[#This Row],[Ratio]] / 3</f>
        <v>0</v>
      </c>
    </row>
    <row r="887" spans="1:9" x14ac:dyDescent="0.3">
      <c r="A887" t="s">
        <v>862</v>
      </c>
      <c r="B887" t="s">
        <v>864</v>
      </c>
      <c r="C887">
        <v>2</v>
      </c>
      <c r="E887" s="12"/>
      <c r="F887" s="11">
        <f>RITable[[#This Row],[Price (1y)]]/RITable[[#This Row],[Ratio]]</f>
        <v>0</v>
      </c>
      <c r="H887" s="12"/>
      <c r="I887" s="10">
        <f>RITable[[#This Row],[Price (3y)]]/RITable[[#This Row],[Ratio]] / 3</f>
        <v>0</v>
      </c>
    </row>
    <row r="888" spans="1:9" x14ac:dyDescent="0.3">
      <c r="A888" t="s">
        <v>862</v>
      </c>
      <c r="B888" t="s">
        <v>865</v>
      </c>
      <c r="C888">
        <v>4</v>
      </c>
      <c r="E888" s="12"/>
      <c r="F888" s="11">
        <f>RITable[[#This Row],[Price (1y)]]/RITable[[#This Row],[Ratio]]</f>
        <v>0</v>
      </c>
      <c r="H888" s="12"/>
      <c r="I888" s="10">
        <f>RITable[[#This Row],[Price (3y)]]/RITable[[#This Row],[Ratio]] / 3</f>
        <v>0</v>
      </c>
    </row>
    <row r="889" spans="1:9" x14ac:dyDescent="0.3">
      <c r="A889" t="s">
        <v>866</v>
      </c>
      <c r="B889" t="s">
        <v>867</v>
      </c>
      <c r="C889">
        <v>1</v>
      </c>
      <c r="E889" s="12"/>
      <c r="F889" s="11">
        <f>RITable[[#This Row],[Price (1y)]]/RITable[[#This Row],[Ratio]]</f>
        <v>0</v>
      </c>
      <c r="H889" s="12"/>
      <c r="I889" s="10">
        <f>RITable[[#This Row],[Price (3y)]]/RITable[[#This Row],[Ratio]] / 3</f>
        <v>0</v>
      </c>
    </row>
    <row r="890" spans="1:9" x14ac:dyDescent="0.3">
      <c r="A890" t="s">
        <v>868</v>
      </c>
      <c r="B890" t="s">
        <v>1170</v>
      </c>
      <c r="C890">
        <v>1</v>
      </c>
      <c r="E890" s="12"/>
      <c r="F890" s="11">
        <f>RITable[[#This Row],[Price (1y)]]/RITable[[#This Row],[Ratio]]</f>
        <v>0</v>
      </c>
      <c r="H890" s="12"/>
      <c r="I890" s="10">
        <f>RITable[[#This Row],[Price (3y)]]/RITable[[#This Row],[Ratio]] / 3</f>
        <v>0</v>
      </c>
    </row>
    <row r="891" spans="1:9" x14ac:dyDescent="0.3">
      <c r="A891" t="s">
        <v>868</v>
      </c>
      <c r="B891" t="s">
        <v>869</v>
      </c>
      <c r="C891">
        <v>1</v>
      </c>
      <c r="E891" s="12"/>
      <c r="F891" s="11">
        <f>RITable[[#This Row],[Price (1y)]]/RITable[[#This Row],[Ratio]]</f>
        <v>0</v>
      </c>
      <c r="H891" s="12"/>
      <c r="I891" s="10">
        <f>RITable[[#This Row],[Price (3y)]]/RITable[[#This Row],[Ratio]] / 3</f>
        <v>0</v>
      </c>
    </row>
    <row r="892" spans="1:9" x14ac:dyDescent="0.3">
      <c r="A892" t="s">
        <v>868</v>
      </c>
      <c r="B892" t="s">
        <v>1171</v>
      </c>
      <c r="C892">
        <v>1.1666666670000001</v>
      </c>
      <c r="E892" s="12"/>
      <c r="F892" s="11">
        <f>RITable[[#This Row],[Price (1y)]]/RITable[[#This Row],[Ratio]]</f>
        <v>0</v>
      </c>
      <c r="H892" s="12"/>
      <c r="I892" s="10">
        <f>RITable[[#This Row],[Price (3y)]]/RITable[[#This Row],[Ratio]] / 3</f>
        <v>0</v>
      </c>
    </row>
    <row r="893" spans="1:9" x14ac:dyDescent="0.3">
      <c r="A893" t="s">
        <v>868</v>
      </c>
      <c r="B893" t="s">
        <v>1172</v>
      </c>
      <c r="C893">
        <v>1.1666666670000001</v>
      </c>
      <c r="E893" s="12"/>
      <c r="F893" s="11">
        <f>RITable[[#This Row],[Price (1y)]]/RITable[[#This Row],[Ratio]]</f>
        <v>0</v>
      </c>
      <c r="H893" s="12"/>
      <c r="I893" s="10">
        <f>RITable[[#This Row],[Price (3y)]]/RITable[[#This Row],[Ratio]] / 3</f>
        <v>0</v>
      </c>
    </row>
    <row r="894" spans="1:9" x14ac:dyDescent="0.3">
      <c r="A894" t="s">
        <v>870</v>
      </c>
      <c r="B894" t="s">
        <v>871</v>
      </c>
      <c r="C894">
        <v>1</v>
      </c>
      <c r="E894" s="12"/>
      <c r="F894" s="11">
        <f>RITable[[#This Row],[Price (1y)]]/RITable[[#This Row],[Ratio]]</f>
        <v>0</v>
      </c>
      <c r="H894" s="12"/>
      <c r="I894" s="10">
        <f>RITable[[#This Row],[Price (3y)]]/RITable[[#This Row],[Ratio]] / 3</f>
        <v>0</v>
      </c>
    </row>
    <row r="895" spans="1:9" x14ac:dyDescent="0.3">
      <c r="A895" t="s">
        <v>870</v>
      </c>
      <c r="B895" t="s">
        <v>872</v>
      </c>
      <c r="C895">
        <v>1</v>
      </c>
      <c r="E895" s="12"/>
      <c r="F895" s="11">
        <f>RITable[[#This Row],[Price (1y)]]/RITable[[#This Row],[Ratio]]</f>
        <v>0</v>
      </c>
      <c r="H895" s="12"/>
      <c r="I895" s="10">
        <f>RITable[[#This Row],[Price (3y)]]/RITable[[#This Row],[Ratio]] / 3</f>
        <v>0</v>
      </c>
    </row>
    <row r="896" spans="1:9" x14ac:dyDescent="0.3">
      <c r="A896" t="s">
        <v>873</v>
      </c>
      <c r="B896" t="s">
        <v>874</v>
      </c>
      <c r="C896">
        <v>1</v>
      </c>
      <c r="E896" s="12"/>
      <c r="F896" s="11">
        <f>RITable[[#This Row],[Price (1y)]]/RITable[[#This Row],[Ratio]]</f>
        <v>0</v>
      </c>
      <c r="H896" s="12"/>
      <c r="I896" s="10">
        <f>RITable[[#This Row],[Price (3y)]]/RITable[[#This Row],[Ratio]] / 3</f>
        <v>0</v>
      </c>
    </row>
    <row r="897" spans="1:9" x14ac:dyDescent="0.3">
      <c r="A897" t="s">
        <v>875</v>
      </c>
      <c r="B897" t="s">
        <v>876</v>
      </c>
      <c r="C897">
        <v>1</v>
      </c>
      <c r="E897" s="12"/>
      <c r="F897" s="11">
        <f>RITable[[#This Row],[Price (1y)]]/RITable[[#This Row],[Ratio]]</f>
        <v>0</v>
      </c>
      <c r="H897" s="12"/>
      <c r="I897" s="10">
        <f>RITable[[#This Row],[Price (3y)]]/RITable[[#This Row],[Ratio]] / 3</f>
        <v>0</v>
      </c>
    </row>
    <row r="898" spans="1:9" x14ac:dyDescent="0.3">
      <c r="A898" t="s">
        <v>875</v>
      </c>
      <c r="B898" t="s">
        <v>877</v>
      </c>
      <c r="C898">
        <v>2</v>
      </c>
      <c r="E898" s="12"/>
      <c r="F898" s="11">
        <f>RITable[[#This Row],[Price (1y)]]/RITable[[#This Row],[Ratio]]</f>
        <v>0</v>
      </c>
      <c r="H898" s="12"/>
      <c r="I898" s="10">
        <f>RITable[[#This Row],[Price (3y)]]/RITable[[#This Row],[Ratio]] / 3</f>
        <v>0</v>
      </c>
    </row>
    <row r="899" spans="1:9" x14ac:dyDescent="0.3">
      <c r="A899" t="s">
        <v>875</v>
      </c>
      <c r="B899" t="s">
        <v>878</v>
      </c>
      <c r="C899">
        <v>4</v>
      </c>
      <c r="E899" s="12"/>
      <c r="F899" s="11">
        <f>RITable[[#This Row],[Price (1y)]]/RITable[[#This Row],[Ratio]]</f>
        <v>0</v>
      </c>
      <c r="H899" s="12"/>
      <c r="I899" s="10">
        <f>RITable[[#This Row],[Price (3y)]]/RITable[[#This Row],[Ratio]] / 3</f>
        <v>0</v>
      </c>
    </row>
    <row r="900" spans="1:9" x14ac:dyDescent="0.3">
      <c r="A900" t="s">
        <v>879</v>
      </c>
      <c r="B900" t="s">
        <v>880</v>
      </c>
      <c r="C900">
        <v>1</v>
      </c>
      <c r="E900" s="12"/>
      <c r="F900" s="11">
        <f>RITable[[#This Row],[Price (1y)]]/RITable[[#This Row],[Ratio]]</f>
        <v>0</v>
      </c>
      <c r="H900" s="12"/>
      <c r="I900" s="10">
        <f>RITable[[#This Row],[Price (3y)]]/RITable[[#This Row],[Ratio]] / 3</f>
        <v>0</v>
      </c>
    </row>
    <row r="901" spans="1:9" x14ac:dyDescent="0.3">
      <c r="A901" t="s">
        <v>879</v>
      </c>
      <c r="B901" t="s">
        <v>881</v>
      </c>
      <c r="C901">
        <v>2</v>
      </c>
      <c r="E901" s="12"/>
      <c r="F901" s="11">
        <f>RITable[[#This Row],[Price (1y)]]/RITable[[#This Row],[Ratio]]</f>
        <v>0</v>
      </c>
      <c r="H901" s="12"/>
      <c r="I901" s="10">
        <f>RITable[[#This Row],[Price (3y)]]/RITable[[#This Row],[Ratio]] / 3</f>
        <v>0</v>
      </c>
    </row>
    <row r="902" spans="1:9" x14ac:dyDescent="0.3">
      <c r="A902" t="s">
        <v>879</v>
      </c>
      <c r="B902" t="s">
        <v>882</v>
      </c>
      <c r="C902">
        <v>4</v>
      </c>
      <c r="E902" s="12"/>
      <c r="F902" s="11">
        <f>RITable[[#This Row],[Price (1y)]]/RITable[[#This Row],[Ratio]]</f>
        <v>0</v>
      </c>
      <c r="H902" s="12"/>
      <c r="I902" s="10">
        <f>RITable[[#This Row],[Price (3y)]]/RITable[[#This Row],[Ratio]] / 3</f>
        <v>0</v>
      </c>
    </row>
    <row r="903" spans="1:9" x14ac:dyDescent="0.3">
      <c r="A903" t="s">
        <v>883</v>
      </c>
      <c r="B903" t="s">
        <v>884</v>
      </c>
      <c r="C903">
        <v>1</v>
      </c>
      <c r="E903" s="12"/>
      <c r="F903" s="11">
        <f>RITable[[#This Row],[Price (1y)]]/RITable[[#This Row],[Ratio]]</f>
        <v>0</v>
      </c>
      <c r="H903" s="12"/>
      <c r="I903" s="10">
        <f>RITable[[#This Row],[Price (3y)]]/RITable[[#This Row],[Ratio]] / 3</f>
        <v>0</v>
      </c>
    </row>
    <row r="904" spans="1:9" x14ac:dyDescent="0.3">
      <c r="A904" t="s">
        <v>883</v>
      </c>
      <c r="B904" t="s">
        <v>885</v>
      </c>
      <c r="C904">
        <v>2</v>
      </c>
      <c r="E904" s="12"/>
      <c r="F904" s="11">
        <f>RITable[[#This Row],[Price (1y)]]/RITable[[#This Row],[Ratio]]</f>
        <v>0</v>
      </c>
      <c r="H904" s="12"/>
      <c r="I904" s="10">
        <f>RITable[[#This Row],[Price (3y)]]/RITable[[#This Row],[Ratio]] / 3</f>
        <v>0</v>
      </c>
    </row>
    <row r="905" spans="1:9" x14ac:dyDescent="0.3">
      <c r="A905" t="s">
        <v>883</v>
      </c>
      <c r="B905" t="s">
        <v>886</v>
      </c>
      <c r="C905">
        <v>4</v>
      </c>
      <c r="E905" s="12"/>
      <c r="F905" s="11">
        <f>RITable[[#This Row],[Price (1y)]]/RITable[[#This Row],[Ratio]]</f>
        <v>0</v>
      </c>
      <c r="H905" s="12"/>
      <c r="I905" s="10">
        <f>RITable[[#This Row],[Price (3y)]]/RITable[[#This Row],[Ratio]] / 3</f>
        <v>0</v>
      </c>
    </row>
    <row r="906" spans="1:9" x14ac:dyDescent="0.3">
      <c r="A906" t="s">
        <v>887</v>
      </c>
      <c r="B906" t="s">
        <v>888</v>
      </c>
      <c r="C906">
        <v>1</v>
      </c>
      <c r="E906" s="12"/>
      <c r="F906" s="11">
        <f>RITable[[#This Row],[Price (1y)]]/RITable[[#This Row],[Ratio]]</f>
        <v>0</v>
      </c>
      <c r="H906" s="12"/>
      <c r="I906" s="10">
        <f>RITable[[#This Row],[Price (3y)]]/RITable[[#This Row],[Ratio]] / 3</f>
        <v>0</v>
      </c>
    </row>
    <row r="907" spans="1:9" x14ac:dyDescent="0.3">
      <c r="A907" t="s">
        <v>889</v>
      </c>
      <c r="B907" t="s">
        <v>890</v>
      </c>
      <c r="C907">
        <v>1</v>
      </c>
      <c r="E907" s="12"/>
      <c r="F907" s="11">
        <f>RITable[[#This Row],[Price (1y)]]/RITable[[#This Row],[Ratio]]</f>
        <v>0</v>
      </c>
      <c r="H907" s="12"/>
      <c r="I907" s="10">
        <f>RITable[[#This Row],[Price (3y)]]/RITable[[#This Row],[Ratio]] / 3</f>
        <v>0</v>
      </c>
    </row>
    <row r="908" spans="1:9" x14ac:dyDescent="0.3">
      <c r="A908" t="s">
        <v>889</v>
      </c>
      <c r="B908" t="s">
        <v>891</v>
      </c>
      <c r="C908">
        <v>1.3333333329999999</v>
      </c>
      <c r="E908" s="12"/>
      <c r="F908" s="11">
        <f>RITable[[#This Row],[Price (1y)]]/RITable[[#This Row],[Ratio]]</f>
        <v>0</v>
      </c>
      <c r="H908" s="12"/>
      <c r="I908" s="10">
        <f>RITable[[#This Row],[Price (3y)]]/RITable[[#This Row],[Ratio]] / 3</f>
        <v>0</v>
      </c>
    </row>
    <row r="909" spans="1:9" x14ac:dyDescent="0.3">
      <c r="A909" t="s">
        <v>892</v>
      </c>
      <c r="B909" t="s">
        <v>893</v>
      </c>
      <c r="C909">
        <v>1</v>
      </c>
      <c r="E909" s="12"/>
      <c r="F909" s="11">
        <f>RITable[[#This Row],[Price (1y)]]/RITable[[#This Row],[Ratio]]</f>
        <v>0</v>
      </c>
      <c r="H909" s="12"/>
      <c r="I909" s="10">
        <f>RITable[[#This Row],[Price (3y)]]/RITable[[#This Row],[Ratio]] / 3</f>
        <v>0</v>
      </c>
    </row>
    <row r="910" spans="1:9" x14ac:dyDescent="0.3">
      <c r="A910" t="s">
        <v>892</v>
      </c>
      <c r="B910" t="s">
        <v>894</v>
      </c>
      <c r="C910">
        <v>2</v>
      </c>
      <c r="E910" s="12"/>
      <c r="F910" s="11">
        <f>RITable[[#This Row],[Price (1y)]]/RITable[[#This Row],[Ratio]]</f>
        <v>0</v>
      </c>
      <c r="H910" s="12"/>
      <c r="I910" s="10">
        <f>RITable[[#This Row],[Price (3y)]]/RITable[[#This Row],[Ratio]] / 3</f>
        <v>0</v>
      </c>
    </row>
    <row r="911" spans="1:9" x14ac:dyDescent="0.3">
      <c r="A911" t="s">
        <v>892</v>
      </c>
      <c r="B911" t="s">
        <v>895</v>
      </c>
      <c r="C911">
        <v>3</v>
      </c>
      <c r="E911" s="12"/>
      <c r="F911" s="11">
        <f>RITable[[#This Row],[Price (1y)]]/RITable[[#This Row],[Ratio]]</f>
        <v>0</v>
      </c>
      <c r="H911" s="12"/>
      <c r="I911" s="10">
        <f>RITable[[#This Row],[Price (3y)]]/RITable[[#This Row],[Ratio]] / 3</f>
        <v>0</v>
      </c>
    </row>
    <row r="912" spans="1:9" x14ac:dyDescent="0.3">
      <c r="A912" t="s">
        <v>892</v>
      </c>
      <c r="B912" t="s">
        <v>896</v>
      </c>
      <c r="C912">
        <v>6</v>
      </c>
      <c r="E912" s="12"/>
      <c r="F912" s="11">
        <f>RITable[[#This Row],[Price (1y)]]/RITable[[#This Row],[Ratio]]</f>
        <v>0</v>
      </c>
      <c r="H912" s="12"/>
      <c r="I912" s="10">
        <f>RITable[[#This Row],[Price (3y)]]/RITable[[#This Row],[Ratio]] / 3</f>
        <v>0</v>
      </c>
    </row>
    <row r="913" spans="1:9" x14ac:dyDescent="0.3">
      <c r="A913" t="s">
        <v>892</v>
      </c>
      <c r="B913" t="s">
        <v>897</v>
      </c>
      <c r="C913">
        <v>6</v>
      </c>
      <c r="E913" s="12"/>
      <c r="F913" s="11">
        <f>RITable[[#This Row],[Price (1y)]]/RITable[[#This Row],[Ratio]]</f>
        <v>0</v>
      </c>
      <c r="H913" s="12"/>
      <c r="I913" s="10">
        <f>RITable[[#This Row],[Price (3y)]]/RITable[[#This Row],[Ratio]] / 3</f>
        <v>0</v>
      </c>
    </row>
    <row r="914" spans="1:9" x14ac:dyDescent="0.3">
      <c r="A914" t="s">
        <v>892</v>
      </c>
      <c r="B914" t="s">
        <v>898</v>
      </c>
      <c r="C914">
        <v>12</v>
      </c>
      <c r="E914" s="12"/>
      <c r="F914" s="11">
        <f>RITable[[#This Row],[Price (1y)]]/RITable[[#This Row],[Ratio]]</f>
        <v>0</v>
      </c>
      <c r="H914" s="12"/>
      <c r="I914" s="10">
        <f>RITable[[#This Row],[Price (3y)]]/RITable[[#This Row],[Ratio]] / 3</f>
        <v>0</v>
      </c>
    </row>
    <row r="915" spans="1:9" x14ac:dyDescent="0.3">
      <c r="A915" t="s">
        <v>899</v>
      </c>
      <c r="B915" t="s">
        <v>900</v>
      </c>
      <c r="C915">
        <v>1</v>
      </c>
      <c r="E915" s="12"/>
      <c r="F915" s="11">
        <f>RITable[[#This Row],[Price (1y)]]/RITable[[#This Row],[Ratio]]</f>
        <v>0</v>
      </c>
      <c r="H915" s="12"/>
      <c r="I915" s="10">
        <f>RITable[[#This Row],[Price (3y)]]/RITable[[#This Row],[Ratio]] / 3</f>
        <v>0</v>
      </c>
    </row>
    <row r="916" spans="1:9" x14ac:dyDescent="0.3">
      <c r="A916" t="s">
        <v>899</v>
      </c>
      <c r="B916" t="s">
        <v>901</v>
      </c>
      <c r="C916">
        <v>2</v>
      </c>
      <c r="E916" s="12"/>
      <c r="F916" s="11">
        <f>RITable[[#This Row],[Price (1y)]]/RITable[[#This Row],[Ratio]]</f>
        <v>0</v>
      </c>
      <c r="H916" s="12"/>
      <c r="I916" s="10">
        <f>RITable[[#This Row],[Price (3y)]]/RITable[[#This Row],[Ratio]] / 3</f>
        <v>0</v>
      </c>
    </row>
    <row r="917" spans="1:9" x14ac:dyDescent="0.3">
      <c r="A917" t="s">
        <v>899</v>
      </c>
      <c r="B917" t="s">
        <v>902</v>
      </c>
      <c r="C917">
        <v>4</v>
      </c>
      <c r="E917" s="12"/>
      <c r="F917" s="11">
        <f>RITable[[#This Row],[Price (1y)]]/RITable[[#This Row],[Ratio]]</f>
        <v>0</v>
      </c>
      <c r="H917" s="12"/>
      <c r="I917" s="10">
        <f>RITable[[#This Row],[Price (3y)]]/RITable[[#This Row],[Ratio]] / 3</f>
        <v>0</v>
      </c>
    </row>
    <row r="918" spans="1:9" x14ac:dyDescent="0.3">
      <c r="A918" t="s">
        <v>899</v>
      </c>
      <c r="B918" t="s">
        <v>903</v>
      </c>
      <c r="C918">
        <v>8</v>
      </c>
      <c r="E918" s="12"/>
      <c r="F918" s="11">
        <f>RITable[[#This Row],[Price (1y)]]/RITable[[#This Row],[Ratio]]</f>
        <v>0</v>
      </c>
      <c r="H918" s="12"/>
      <c r="I918" s="10">
        <f>RITable[[#This Row],[Price (3y)]]/RITable[[#This Row],[Ratio]] / 3</f>
        <v>0</v>
      </c>
    </row>
    <row r="919" spans="1:9" x14ac:dyDescent="0.3">
      <c r="A919" t="s">
        <v>904</v>
      </c>
      <c r="B919" t="s">
        <v>905</v>
      </c>
      <c r="C919">
        <v>1</v>
      </c>
      <c r="E919" s="12"/>
      <c r="F919" s="11">
        <f>RITable[[#This Row],[Price (1y)]]/RITable[[#This Row],[Ratio]]</f>
        <v>0</v>
      </c>
      <c r="H919" s="12"/>
      <c r="I919" s="10">
        <f>RITable[[#This Row],[Price (3y)]]/RITable[[#This Row],[Ratio]] / 3</f>
        <v>0</v>
      </c>
    </row>
    <row r="920" spans="1:9" x14ac:dyDescent="0.3">
      <c r="A920" t="s">
        <v>1173</v>
      </c>
      <c r="B920" t="s">
        <v>915</v>
      </c>
      <c r="C920">
        <v>1</v>
      </c>
      <c r="E920" s="12"/>
      <c r="F920" s="11">
        <f>RITable[[#This Row],[Price (1y)]]/RITable[[#This Row],[Ratio]]</f>
        <v>0</v>
      </c>
      <c r="H920" s="12"/>
      <c r="I920" s="10">
        <f>RITable[[#This Row],[Price (3y)]]/RITable[[#This Row],[Ratio]] / 3</f>
        <v>0</v>
      </c>
    </row>
    <row r="921" spans="1:9" x14ac:dyDescent="0.3">
      <c r="A921" t="s">
        <v>906</v>
      </c>
      <c r="B921" t="s">
        <v>1174</v>
      </c>
      <c r="C921">
        <v>1</v>
      </c>
      <c r="E921" s="12"/>
      <c r="F921" s="11">
        <f>RITable[[#This Row],[Price (1y)]]/RITable[[#This Row],[Ratio]]</f>
        <v>0</v>
      </c>
      <c r="H921" s="12"/>
      <c r="I921" s="10">
        <f>RITable[[#This Row],[Price (3y)]]/RITable[[#This Row],[Ratio]] / 3</f>
        <v>0</v>
      </c>
    </row>
    <row r="922" spans="1:9" x14ac:dyDescent="0.3">
      <c r="A922" t="s">
        <v>906</v>
      </c>
      <c r="B922" t="s">
        <v>907</v>
      </c>
      <c r="C922">
        <v>1</v>
      </c>
      <c r="E922" s="12"/>
      <c r="F922" s="11">
        <f>RITable[[#This Row],[Price (1y)]]/RITable[[#This Row],[Ratio]]</f>
        <v>0</v>
      </c>
      <c r="H922" s="12"/>
      <c r="I922" s="10">
        <f>RITable[[#This Row],[Price (3y)]]/RITable[[#This Row],[Ratio]] / 3</f>
        <v>0</v>
      </c>
    </row>
    <row r="923" spans="1:9" x14ac:dyDescent="0.3">
      <c r="A923" t="s">
        <v>906</v>
      </c>
      <c r="B923" t="s">
        <v>1175</v>
      </c>
      <c r="C923">
        <v>2.1666666669999999</v>
      </c>
      <c r="E923" s="12"/>
      <c r="F923" s="11">
        <f>RITable[[#This Row],[Price (1y)]]/RITable[[#This Row],[Ratio]]</f>
        <v>0</v>
      </c>
      <c r="H923" s="12"/>
      <c r="I923" s="10">
        <f>RITable[[#This Row],[Price (3y)]]/RITable[[#This Row],[Ratio]] / 3</f>
        <v>0</v>
      </c>
    </row>
    <row r="924" spans="1:9" x14ac:dyDescent="0.3">
      <c r="A924" t="s">
        <v>906</v>
      </c>
      <c r="B924" t="s">
        <v>908</v>
      </c>
      <c r="C924">
        <v>2.1666666669999999</v>
      </c>
      <c r="E924" s="12"/>
      <c r="F924" s="11">
        <f>RITable[[#This Row],[Price (1y)]]/RITable[[#This Row],[Ratio]]</f>
        <v>0</v>
      </c>
      <c r="H924" s="12"/>
      <c r="I924" s="10">
        <f>RITable[[#This Row],[Price (3y)]]/RITable[[#This Row],[Ratio]] / 3</f>
        <v>0</v>
      </c>
    </row>
    <row r="925" spans="1:9" x14ac:dyDescent="0.3">
      <c r="A925" t="s">
        <v>909</v>
      </c>
      <c r="B925" t="s">
        <v>910</v>
      </c>
      <c r="C925">
        <v>1</v>
      </c>
      <c r="E925" s="12"/>
      <c r="F925" s="11">
        <f>RITable[[#This Row],[Price (1y)]]/RITable[[#This Row],[Ratio]]</f>
        <v>0</v>
      </c>
      <c r="H925" s="12"/>
      <c r="I925" s="10">
        <f>RITable[[#This Row],[Price (3y)]]/RITable[[#This Row],[Ratio]] / 3</f>
        <v>0</v>
      </c>
    </row>
    <row r="926" spans="1:9" x14ac:dyDescent="0.3">
      <c r="A926" t="s">
        <v>909</v>
      </c>
      <c r="B926" t="s">
        <v>911</v>
      </c>
      <c r="C926">
        <v>2.3333333330000001</v>
      </c>
      <c r="E926" s="12"/>
      <c r="F926" s="11">
        <f>RITable[[#This Row],[Price (1y)]]/RITable[[#This Row],[Ratio]]</f>
        <v>0</v>
      </c>
      <c r="H926" s="12"/>
      <c r="I926" s="10">
        <f>RITable[[#This Row],[Price (3y)]]/RITable[[#This Row],[Ratio]] / 3</f>
        <v>0</v>
      </c>
    </row>
    <row r="927" spans="1:9" x14ac:dyDescent="0.3">
      <c r="A927" t="s">
        <v>912</v>
      </c>
      <c r="B927" t="s">
        <v>913</v>
      </c>
      <c r="C927">
        <v>1</v>
      </c>
      <c r="E927" s="12"/>
      <c r="F927" s="11">
        <f>RITable[[#This Row],[Price (1y)]]/RITable[[#This Row],[Ratio]]</f>
        <v>0</v>
      </c>
      <c r="H927" s="12"/>
      <c r="I927" s="10">
        <f>RITable[[#This Row],[Price (3y)]]/RITable[[#This Row],[Ratio]] / 3</f>
        <v>0</v>
      </c>
    </row>
    <row r="928" spans="1:9" x14ac:dyDescent="0.3">
      <c r="A928" t="s">
        <v>912</v>
      </c>
      <c r="B928" t="s">
        <v>914</v>
      </c>
      <c r="C928">
        <v>2</v>
      </c>
      <c r="E928" s="12"/>
      <c r="F928" s="11">
        <f>RITable[[#This Row],[Price (1y)]]/RITable[[#This Row],[Ratio]]</f>
        <v>0</v>
      </c>
      <c r="H928" s="12"/>
      <c r="I928" s="10">
        <f>RITable[[#This Row],[Price (3y)]]/RITable[[#This Row],[Ratio]] / 3</f>
        <v>0</v>
      </c>
    </row>
    <row r="929" spans="1:9" x14ac:dyDescent="0.3">
      <c r="A929" t="s">
        <v>916</v>
      </c>
      <c r="B929" t="s">
        <v>917</v>
      </c>
      <c r="C929">
        <v>1</v>
      </c>
      <c r="E929" s="12"/>
      <c r="F929" s="11">
        <f>RITable[[#This Row],[Price (1y)]]/RITable[[#This Row],[Ratio]]</f>
        <v>0</v>
      </c>
      <c r="H929" s="12"/>
      <c r="I929" s="10">
        <f>RITable[[#This Row],[Price (3y)]]/RITable[[#This Row],[Ratio]] / 3</f>
        <v>0</v>
      </c>
    </row>
    <row r="930" spans="1:9" x14ac:dyDescent="0.3">
      <c r="A930" t="s">
        <v>918</v>
      </c>
      <c r="B930" t="s">
        <v>919</v>
      </c>
      <c r="C930">
        <v>1</v>
      </c>
      <c r="E930" s="12"/>
      <c r="F930" s="11">
        <f>RITable[[#This Row],[Price (1y)]]/RITable[[#This Row],[Ratio]]</f>
        <v>0</v>
      </c>
      <c r="H930" s="12"/>
      <c r="I930" s="10">
        <f>RITable[[#This Row],[Price (3y)]]/RITable[[#This Row],[Ratio]] / 3</f>
        <v>0</v>
      </c>
    </row>
    <row r="931" spans="1:9" x14ac:dyDescent="0.3">
      <c r="A931" t="s">
        <v>918</v>
      </c>
      <c r="B931" t="s">
        <v>920</v>
      </c>
      <c r="C931">
        <v>1.25</v>
      </c>
      <c r="E931" s="12"/>
      <c r="F931" s="11">
        <f>RITable[[#This Row],[Price (1y)]]/RITable[[#This Row],[Ratio]]</f>
        <v>0</v>
      </c>
      <c r="H931" s="12"/>
      <c r="I931" s="10">
        <f>RITable[[#This Row],[Price (3y)]]/RITable[[#This Row],[Ratio]] / 3</f>
        <v>0</v>
      </c>
    </row>
    <row r="932" spans="1:9" x14ac:dyDescent="0.3">
      <c r="A932" t="s">
        <v>918</v>
      </c>
      <c r="B932" t="s">
        <v>921</v>
      </c>
      <c r="C932">
        <v>1.625</v>
      </c>
      <c r="E932" s="12"/>
      <c r="F932" s="11">
        <f>RITable[[#This Row],[Price (1y)]]/RITable[[#This Row],[Ratio]]</f>
        <v>0</v>
      </c>
      <c r="H932" s="12"/>
      <c r="I932" s="10">
        <f>RITable[[#This Row],[Price (3y)]]/RITable[[#This Row],[Ratio]] / 3</f>
        <v>0</v>
      </c>
    </row>
    <row r="933" spans="1:9" x14ac:dyDescent="0.3">
      <c r="A933" t="s">
        <v>918</v>
      </c>
      <c r="B933" t="s">
        <v>922</v>
      </c>
      <c r="C933">
        <v>2</v>
      </c>
      <c r="E933" s="12"/>
      <c r="F933" s="11">
        <f>RITable[[#This Row],[Price (1y)]]/RITable[[#This Row],[Ratio]]</f>
        <v>0</v>
      </c>
      <c r="H933" s="12"/>
      <c r="I933" s="10">
        <f>RITable[[#This Row],[Price (3y)]]/RITable[[#This Row],[Ratio]] / 3</f>
        <v>0</v>
      </c>
    </row>
    <row r="934" spans="1:9" x14ac:dyDescent="0.3">
      <c r="A934" t="s">
        <v>923</v>
      </c>
      <c r="B934" t="s">
        <v>924</v>
      </c>
      <c r="C934">
        <v>1</v>
      </c>
      <c r="E934" s="12"/>
      <c r="F934" s="11">
        <f>RITable[[#This Row],[Price (1y)]]/RITable[[#This Row],[Ratio]]</f>
        <v>0</v>
      </c>
      <c r="H934" s="12"/>
      <c r="I934" s="10">
        <f>RITable[[#This Row],[Price (3y)]]/RITable[[#This Row],[Ratio]] / 3</f>
        <v>0</v>
      </c>
    </row>
    <row r="935" spans="1:9" x14ac:dyDescent="0.3">
      <c r="A935" t="s">
        <v>923</v>
      </c>
      <c r="B935" t="s">
        <v>925</v>
      </c>
      <c r="C935">
        <v>2</v>
      </c>
      <c r="E935" s="12"/>
      <c r="F935" s="11">
        <f>RITable[[#This Row],[Price (1y)]]/RITable[[#This Row],[Ratio]]</f>
        <v>0</v>
      </c>
      <c r="H935" s="12"/>
      <c r="I935" s="10">
        <f>RITable[[#This Row],[Price (3y)]]/RITable[[#This Row],[Ratio]] / 3</f>
        <v>0</v>
      </c>
    </row>
    <row r="936" spans="1:9" x14ac:dyDescent="0.3">
      <c r="A936" t="s">
        <v>923</v>
      </c>
      <c r="B936" t="s">
        <v>926</v>
      </c>
      <c r="C936">
        <v>3</v>
      </c>
      <c r="E936" s="12"/>
      <c r="F936" s="11">
        <f>RITable[[#This Row],[Price (1y)]]/RITable[[#This Row],[Ratio]]</f>
        <v>0</v>
      </c>
      <c r="H936" s="12"/>
      <c r="I936" s="10">
        <f>RITable[[#This Row],[Price (3y)]]/RITable[[#This Row],[Ratio]] / 3</f>
        <v>0</v>
      </c>
    </row>
    <row r="937" spans="1:9" x14ac:dyDescent="0.3">
      <c r="A937" t="s">
        <v>923</v>
      </c>
      <c r="B937" t="s">
        <v>927</v>
      </c>
      <c r="C937">
        <v>3.2</v>
      </c>
      <c r="E937" s="12"/>
      <c r="F937" s="11">
        <f>RITable[[#This Row],[Price (1y)]]/RITable[[#This Row],[Ratio]]</f>
        <v>0</v>
      </c>
      <c r="H937" s="12"/>
      <c r="I937" s="10">
        <f>RITable[[#This Row],[Price (3y)]]/RITable[[#This Row],[Ratio]] / 3</f>
        <v>0</v>
      </c>
    </row>
    <row r="938" spans="1:9" x14ac:dyDescent="0.3">
      <c r="A938" t="s">
        <v>928</v>
      </c>
      <c r="B938" t="s">
        <v>929</v>
      </c>
      <c r="C938">
        <v>1</v>
      </c>
      <c r="E938" s="12"/>
      <c r="F938" s="11">
        <f>RITable[[#This Row],[Price (1y)]]/RITable[[#This Row],[Ratio]]</f>
        <v>0</v>
      </c>
      <c r="H938" s="12"/>
      <c r="I938" s="10">
        <f>RITable[[#This Row],[Price (3y)]]/RITable[[#This Row],[Ratio]] / 3</f>
        <v>0</v>
      </c>
    </row>
    <row r="939" spans="1:9" x14ac:dyDescent="0.3">
      <c r="A939" t="s">
        <v>928</v>
      </c>
      <c r="B939" t="s">
        <v>930</v>
      </c>
      <c r="C939">
        <v>1.9230799999999999</v>
      </c>
      <c r="E939" s="12"/>
      <c r="F939" s="11">
        <f>RITable[[#This Row],[Price (1y)]]/RITable[[#This Row],[Ratio]]</f>
        <v>0</v>
      </c>
      <c r="H939" s="12"/>
      <c r="I939" s="10">
        <f>RITable[[#This Row],[Price (3y)]]/RITable[[#This Row],[Ratio]] / 3</f>
        <v>0</v>
      </c>
    </row>
    <row r="940" spans="1:9" x14ac:dyDescent="0.3">
      <c r="A940" t="s">
        <v>928</v>
      </c>
      <c r="B940" t="s">
        <v>931</v>
      </c>
      <c r="C940">
        <v>2.30769</v>
      </c>
      <c r="E940" s="12"/>
      <c r="F940" s="11">
        <f>RITable[[#This Row],[Price (1y)]]/RITable[[#This Row],[Ratio]]</f>
        <v>0</v>
      </c>
      <c r="H940" s="12"/>
      <c r="I940" s="10">
        <f>RITable[[#This Row],[Price (3y)]]/RITable[[#This Row],[Ratio]] / 3</f>
        <v>0</v>
      </c>
    </row>
    <row r="941" spans="1:9" x14ac:dyDescent="0.3">
      <c r="A941" t="s">
        <v>932</v>
      </c>
      <c r="B941" t="s">
        <v>933</v>
      </c>
      <c r="C941">
        <v>1</v>
      </c>
      <c r="E941" s="12"/>
      <c r="F941" s="11">
        <f>RITable[[#This Row],[Price (1y)]]/RITable[[#This Row],[Ratio]]</f>
        <v>0</v>
      </c>
      <c r="H941" s="12"/>
      <c r="I941" s="10">
        <f>RITable[[#This Row],[Price (3y)]]/RITable[[#This Row],[Ratio]] / 3</f>
        <v>0</v>
      </c>
    </row>
    <row r="942" spans="1:9" x14ac:dyDescent="0.3">
      <c r="A942" t="s">
        <v>932</v>
      </c>
      <c r="B942" t="s">
        <v>934</v>
      </c>
      <c r="C942">
        <v>2</v>
      </c>
      <c r="E942" s="12"/>
      <c r="F942" s="11">
        <f>RITable[[#This Row],[Price (1y)]]/RITable[[#This Row],[Ratio]]</f>
        <v>0</v>
      </c>
      <c r="H942" s="12"/>
      <c r="I942" s="10">
        <f>RITable[[#This Row],[Price (3y)]]/RITable[[#This Row],[Ratio]] / 3</f>
        <v>0</v>
      </c>
    </row>
    <row r="943" spans="1:9" x14ac:dyDescent="0.3">
      <c r="A943" t="s">
        <v>932</v>
      </c>
      <c r="B943" t="s">
        <v>935</v>
      </c>
      <c r="C943">
        <v>2.6</v>
      </c>
      <c r="E943" s="12"/>
      <c r="F943" s="11">
        <f>RITable[[#This Row],[Price (1y)]]/RITable[[#This Row],[Ratio]]</f>
        <v>0</v>
      </c>
      <c r="H943" s="12"/>
      <c r="I943" s="10">
        <f>RITable[[#This Row],[Price (3y)]]/RITable[[#This Row],[Ratio]] / 3</f>
        <v>0</v>
      </c>
    </row>
    <row r="944" spans="1:9" x14ac:dyDescent="0.3">
      <c r="A944" t="s">
        <v>936</v>
      </c>
      <c r="B944" t="s">
        <v>937</v>
      </c>
      <c r="C944">
        <v>1</v>
      </c>
      <c r="E944" s="12"/>
      <c r="F944" s="11">
        <f>RITable[[#This Row],[Price (1y)]]/RITable[[#This Row],[Ratio]]</f>
        <v>0</v>
      </c>
      <c r="H944" s="12"/>
      <c r="I944" s="10">
        <f>RITable[[#This Row],[Price (3y)]]/RITable[[#This Row],[Ratio]] / 3</f>
        <v>0</v>
      </c>
    </row>
    <row r="945" spans="1:9" x14ac:dyDescent="0.3">
      <c r="A945" t="s">
        <v>936</v>
      </c>
      <c r="B945" t="s">
        <v>938</v>
      </c>
      <c r="C945">
        <v>1.9230799999999999</v>
      </c>
      <c r="E945" s="12"/>
      <c r="F945" s="11">
        <f>RITable[[#This Row],[Price (1y)]]/RITable[[#This Row],[Ratio]]</f>
        <v>0</v>
      </c>
      <c r="H945" s="12"/>
      <c r="I945" s="10">
        <f>RITable[[#This Row],[Price (3y)]]/RITable[[#This Row],[Ratio]] / 3</f>
        <v>0</v>
      </c>
    </row>
    <row r="946" spans="1:9" x14ac:dyDescent="0.3">
      <c r="A946" t="s">
        <v>936</v>
      </c>
      <c r="B946" t="s">
        <v>939</v>
      </c>
      <c r="C946">
        <v>2.9230800000000001</v>
      </c>
      <c r="E946" s="12"/>
      <c r="F946" s="11">
        <f>RITable[[#This Row],[Price (1y)]]/RITable[[#This Row],[Ratio]]</f>
        <v>0</v>
      </c>
      <c r="H946" s="12"/>
      <c r="I946" s="10">
        <f>RITable[[#This Row],[Price (3y)]]/RITable[[#This Row],[Ratio]] / 3</f>
        <v>0</v>
      </c>
    </row>
    <row r="947" spans="1:9" x14ac:dyDescent="0.3">
      <c r="A947" t="s">
        <v>940</v>
      </c>
      <c r="B947" t="s">
        <v>941</v>
      </c>
      <c r="C947">
        <v>1</v>
      </c>
      <c r="E947" s="12"/>
      <c r="F947" s="11">
        <f>RITable[[#This Row],[Price (1y)]]/RITable[[#This Row],[Ratio]]</f>
        <v>0</v>
      </c>
      <c r="H947" s="12"/>
      <c r="I947" s="10">
        <f>RITable[[#This Row],[Price (3y)]]/RITable[[#This Row],[Ratio]] / 3</f>
        <v>0</v>
      </c>
    </row>
    <row r="948" spans="1:9" x14ac:dyDescent="0.3">
      <c r="A948" t="s">
        <v>940</v>
      </c>
      <c r="B948" t="s">
        <v>942</v>
      </c>
      <c r="C948">
        <v>2</v>
      </c>
      <c r="E948" s="12"/>
      <c r="F948" s="11">
        <f>RITable[[#This Row],[Price (1y)]]/RITable[[#This Row],[Ratio]]</f>
        <v>0</v>
      </c>
      <c r="H948" s="12"/>
      <c r="I948" s="10">
        <f>RITable[[#This Row],[Price (3y)]]/RITable[[#This Row],[Ratio]] / 3</f>
        <v>0</v>
      </c>
    </row>
    <row r="949" spans="1:9" x14ac:dyDescent="0.3">
      <c r="A949" t="s">
        <v>940</v>
      </c>
      <c r="B949" t="s">
        <v>943</v>
      </c>
      <c r="C949">
        <v>2.4117600000000001</v>
      </c>
      <c r="E949" s="12"/>
      <c r="F949" s="11">
        <f>RITable[[#This Row],[Price (1y)]]/RITable[[#This Row],[Ratio]]</f>
        <v>0</v>
      </c>
      <c r="H949" s="12"/>
      <c r="I949" s="10">
        <f>RITable[[#This Row],[Price (3y)]]/RITable[[#This Row],[Ratio]] / 3</f>
        <v>0</v>
      </c>
    </row>
    <row r="950" spans="1:9" x14ac:dyDescent="0.3">
      <c r="A950" t="s">
        <v>1176</v>
      </c>
      <c r="B950" t="s">
        <v>1177</v>
      </c>
      <c r="C950">
        <v>1</v>
      </c>
      <c r="E950" s="12"/>
      <c r="F950" s="11">
        <f>RITable[[#This Row],[Price (1y)]]/RITable[[#This Row],[Ratio]]</f>
        <v>0</v>
      </c>
      <c r="H950" s="12"/>
      <c r="I950" s="10">
        <f>RITable[[#This Row],[Price (3y)]]/RITable[[#This Row],[Ratio]] / 3</f>
        <v>0</v>
      </c>
    </row>
    <row r="951" spans="1:9" x14ac:dyDescent="0.3">
      <c r="A951" t="s">
        <v>1176</v>
      </c>
      <c r="B951" t="s">
        <v>1178</v>
      </c>
      <c r="C951">
        <v>8</v>
      </c>
      <c r="E951" s="12"/>
      <c r="F951" s="11">
        <f>RITable[[#This Row],[Price (1y)]]/RITable[[#This Row],[Ratio]]</f>
        <v>0</v>
      </c>
      <c r="H951" s="12"/>
      <c r="I951" s="10">
        <f>RITable[[#This Row],[Price (3y)]]/RITable[[#This Row],[Ratio]] / 3</f>
        <v>0</v>
      </c>
    </row>
    <row r="952" spans="1:9" x14ac:dyDescent="0.3">
      <c r="A952" t="s">
        <v>1176</v>
      </c>
      <c r="B952" t="s">
        <v>1179</v>
      </c>
      <c r="C952">
        <v>16</v>
      </c>
      <c r="E952" s="12"/>
      <c r="F952" s="11">
        <f>RITable[[#This Row],[Price (1y)]]/RITable[[#This Row],[Ratio]]</f>
        <v>0</v>
      </c>
      <c r="H952" s="12"/>
      <c r="I952" s="10">
        <f>RITable[[#This Row],[Price (3y)]]/RITable[[#This Row],[Ratio]] / 3</f>
        <v>0</v>
      </c>
    </row>
    <row r="953" spans="1:9" x14ac:dyDescent="0.3">
      <c r="A953" t="s">
        <v>1176</v>
      </c>
      <c r="B953" t="s">
        <v>1180</v>
      </c>
      <c r="C953">
        <v>72</v>
      </c>
      <c r="E953" s="12"/>
      <c r="F953" s="11">
        <f>RITable[[#This Row],[Price (1y)]]/RITable[[#This Row],[Ratio]]</f>
        <v>0</v>
      </c>
      <c r="H953" s="12"/>
      <c r="I953" s="10">
        <f>RITable[[#This Row],[Price (3y)]]/RITable[[#This Row],[Ratio]] / 3</f>
        <v>0</v>
      </c>
    </row>
    <row r="954" spans="1:9" x14ac:dyDescent="0.3">
      <c r="A954" t="s">
        <v>1181</v>
      </c>
      <c r="B954" t="s">
        <v>1182</v>
      </c>
      <c r="C954">
        <v>1</v>
      </c>
      <c r="E954" s="12"/>
      <c r="F954" s="11">
        <f>RITable[[#This Row],[Price (1y)]]/RITable[[#This Row],[Ratio]]</f>
        <v>0</v>
      </c>
      <c r="H954" s="12"/>
      <c r="I954" s="10">
        <f>RITable[[#This Row],[Price (3y)]]/RITable[[#This Row],[Ratio]] / 3</f>
        <v>0</v>
      </c>
    </row>
    <row r="955" spans="1:9" x14ac:dyDescent="0.3">
      <c r="A955" t="s">
        <v>1181</v>
      </c>
      <c r="B955" t="s">
        <v>1183</v>
      </c>
      <c r="C955">
        <v>1</v>
      </c>
      <c r="E955" s="12"/>
      <c r="F955" s="11">
        <f>RITable[[#This Row],[Price (1y)]]/RITable[[#This Row],[Ratio]]</f>
        <v>0</v>
      </c>
      <c r="H955" s="12"/>
      <c r="I955" s="10">
        <f>RITable[[#This Row],[Price (3y)]]/RITable[[#This Row],[Ratio]] / 3</f>
        <v>0</v>
      </c>
    </row>
    <row r="956" spans="1:9" x14ac:dyDescent="0.3">
      <c r="A956" t="s">
        <v>1181</v>
      </c>
      <c r="B956" t="s">
        <v>1184</v>
      </c>
      <c r="C956">
        <v>1</v>
      </c>
      <c r="E956" s="12"/>
      <c r="F956" s="11">
        <f>RITable[[#This Row],[Price (1y)]]/RITable[[#This Row],[Ratio]]</f>
        <v>0</v>
      </c>
      <c r="H956" s="12"/>
      <c r="I956" s="10">
        <f>RITable[[#This Row],[Price (3y)]]/RITable[[#This Row],[Ratio]] / 3</f>
        <v>0</v>
      </c>
    </row>
    <row r="957" spans="1:9" x14ac:dyDescent="0.3">
      <c r="A957" t="s">
        <v>1181</v>
      </c>
      <c r="B957" t="s">
        <v>1185</v>
      </c>
      <c r="C957">
        <v>1</v>
      </c>
      <c r="E957" s="12"/>
      <c r="F957" s="11">
        <f>RITable[[#This Row],[Price (1y)]]/RITable[[#This Row],[Ratio]]</f>
        <v>0</v>
      </c>
      <c r="H957" s="12"/>
      <c r="I957" s="10">
        <f>RITable[[#This Row],[Price (3y)]]/RITable[[#This Row],[Ratio]] / 3</f>
        <v>0</v>
      </c>
    </row>
    <row r="958" spans="1:9" x14ac:dyDescent="0.3">
      <c r="A958" t="s">
        <v>1181</v>
      </c>
      <c r="B958" t="s">
        <v>1186</v>
      </c>
      <c r="C958">
        <v>1</v>
      </c>
      <c r="E958" s="12"/>
      <c r="F958" s="11">
        <f>RITable[[#This Row],[Price (1y)]]/RITable[[#This Row],[Ratio]]</f>
        <v>0</v>
      </c>
      <c r="H958" s="12"/>
      <c r="I958" s="10">
        <f>RITable[[#This Row],[Price (3y)]]/RITable[[#This Row],[Ratio]] / 3</f>
        <v>0</v>
      </c>
    </row>
    <row r="959" spans="1:9" x14ac:dyDescent="0.3">
      <c r="A959" t="s">
        <v>1187</v>
      </c>
      <c r="B959" t="s">
        <v>1188</v>
      </c>
      <c r="C959">
        <v>1</v>
      </c>
      <c r="E959" s="12"/>
      <c r="F959" s="11">
        <f>RITable[[#This Row],[Price (1y)]]/RITable[[#This Row],[Ratio]]</f>
        <v>0</v>
      </c>
      <c r="H959" s="12"/>
      <c r="I959" s="10">
        <f>RITable[[#This Row],[Price (3y)]]/RITable[[#This Row],[Ratio]] / 3</f>
        <v>0</v>
      </c>
    </row>
    <row r="960" spans="1:9" x14ac:dyDescent="0.3">
      <c r="A960" t="s">
        <v>1187</v>
      </c>
      <c r="B960" t="s">
        <v>1189</v>
      </c>
      <c r="C960">
        <v>1</v>
      </c>
      <c r="E960" s="12"/>
      <c r="F960" s="11">
        <f>RITable[[#This Row],[Price (1y)]]/RITable[[#This Row],[Ratio]]</f>
        <v>0</v>
      </c>
      <c r="H960" s="12"/>
      <c r="I960" s="10">
        <f>RITable[[#This Row],[Price (3y)]]/RITable[[#This Row],[Ratio]] / 3</f>
        <v>0</v>
      </c>
    </row>
    <row r="961" spans="1:9" x14ac:dyDescent="0.3">
      <c r="A961" t="s">
        <v>1187</v>
      </c>
      <c r="B961" t="s">
        <v>1190</v>
      </c>
      <c r="C961">
        <v>1</v>
      </c>
      <c r="E961" s="12"/>
      <c r="F961" s="11">
        <f>RITable[[#This Row],[Price (1y)]]/RITable[[#This Row],[Ratio]]</f>
        <v>0</v>
      </c>
      <c r="H961" s="12"/>
      <c r="I961" s="10">
        <f>RITable[[#This Row],[Price (3y)]]/RITable[[#This Row],[Ratio]] / 3</f>
        <v>0</v>
      </c>
    </row>
    <row r="962" spans="1:9" x14ac:dyDescent="0.3">
      <c r="A962" t="s">
        <v>1187</v>
      </c>
      <c r="B962" t="s">
        <v>1191</v>
      </c>
      <c r="C962">
        <v>1</v>
      </c>
      <c r="E962" s="12"/>
      <c r="F962" s="11">
        <f>RITable[[#This Row],[Price (1y)]]/RITable[[#This Row],[Ratio]]</f>
        <v>0</v>
      </c>
      <c r="H962" s="12"/>
      <c r="I962" s="10">
        <f>RITable[[#This Row],[Price (3y)]]/RITable[[#This Row],[Ratio]] / 3</f>
        <v>0</v>
      </c>
    </row>
    <row r="963" spans="1:9" x14ac:dyDescent="0.3">
      <c r="A963" t="s">
        <v>1187</v>
      </c>
      <c r="B963" t="s">
        <v>1192</v>
      </c>
      <c r="C963">
        <v>1</v>
      </c>
      <c r="E963" s="12"/>
      <c r="F963" s="11">
        <f>RITable[[#This Row],[Price (1y)]]/RITable[[#This Row],[Ratio]]</f>
        <v>0</v>
      </c>
      <c r="H963" s="12"/>
      <c r="I963" s="10">
        <f>RITable[[#This Row],[Price (3y)]]/RITable[[#This Row],[Ratio]] / 3</f>
        <v>0</v>
      </c>
    </row>
    <row r="964" spans="1:9" x14ac:dyDescent="0.3">
      <c r="A964" t="s">
        <v>1193</v>
      </c>
      <c r="B964" t="s">
        <v>1194</v>
      </c>
      <c r="C964">
        <v>1</v>
      </c>
      <c r="E964" s="12"/>
      <c r="F964" s="11">
        <f>RITable[[#This Row],[Price (1y)]]/RITable[[#This Row],[Ratio]]</f>
        <v>0</v>
      </c>
      <c r="H964" s="12"/>
      <c r="I964" s="10">
        <f>RITable[[#This Row],[Price (3y)]]/RITable[[#This Row],[Ratio]] / 3</f>
        <v>0</v>
      </c>
    </row>
    <row r="965" spans="1:9" x14ac:dyDescent="0.3">
      <c r="A965" t="s">
        <v>1195</v>
      </c>
      <c r="B965" t="s">
        <v>1196</v>
      </c>
      <c r="C965">
        <v>1</v>
      </c>
      <c r="E965" s="12"/>
      <c r="F965" s="11">
        <f>RITable[[#This Row],[Price (1y)]]/RITable[[#This Row],[Ratio]]</f>
        <v>0</v>
      </c>
      <c r="H965" s="12"/>
      <c r="I965" s="10">
        <f>RITable[[#This Row],[Price (3y)]]/RITable[[#This Row],[Ratio]] / 3</f>
        <v>0</v>
      </c>
    </row>
    <row r="966" spans="1:9" x14ac:dyDescent="0.3">
      <c r="A966" t="s">
        <v>1197</v>
      </c>
      <c r="B966" t="s">
        <v>1198</v>
      </c>
      <c r="C966">
        <v>1</v>
      </c>
      <c r="E966" s="12"/>
      <c r="F966" s="11">
        <f>RITable[[#This Row],[Price (1y)]]/RITable[[#This Row],[Ratio]]</f>
        <v>0</v>
      </c>
      <c r="H966" s="12"/>
      <c r="I966" s="10">
        <f>RITable[[#This Row],[Price (3y)]]/RITable[[#This Row],[Ratio]] / 3</f>
        <v>0</v>
      </c>
    </row>
    <row r="967" spans="1:9" x14ac:dyDescent="0.3">
      <c r="A967" t="s">
        <v>1197</v>
      </c>
      <c r="B967" t="s">
        <v>1199</v>
      </c>
      <c r="C967">
        <v>2</v>
      </c>
      <c r="E967" s="12"/>
      <c r="F967" s="11">
        <f>RITable[[#This Row],[Price (1y)]]/RITable[[#This Row],[Ratio]]</f>
        <v>0</v>
      </c>
      <c r="H967" s="12"/>
      <c r="I967" s="10">
        <f>RITable[[#This Row],[Price (3y)]]/RITable[[#This Row],[Ratio]] / 3</f>
        <v>0</v>
      </c>
    </row>
    <row r="968" spans="1:9" x14ac:dyDescent="0.3">
      <c r="A968" t="s">
        <v>1197</v>
      </c>
      <c r="B968" t="s">
        <v>1200</v>
      </c>
      <c r="C968">
        <v>4</v>
      </c>
      <c r="E968" s="12"/>
      <c r="F968" s="11">
        <f>RITable[[#This Row],[Price (1y)]]/RITable[[#This Row],[Ratio]]</f>
        <v>0</v>
      </c>
      <c r="H968" s="12"/>
      <c r="I968" s="10">
        <f>RITable[[#This Row],[Price (3y)]]/RITable[[#This Row],[Ratio]] / 3</f>
        <v>0</v>
      </c>
    </row>
    <row r="969" spans="1:9" x14ac:dyDescent="0.3">
      <c r="A969" t="s">
        <v>1197</v>
      </c>
      <c r="B969" t="s">
        <v>1201</v>
      </c>
      <c r="C969">
        <v>8</v>
      </c>
      <c r="E969" s="12"/>
      <c r="F969" s="11">
        <f>RITable[[#This Row],[Price (1y)]]/RITable[[#This Row],[Ratio]]</f>
        <v>0</v>
      </c>
      <c r="H969" s="12"/>
      <c r="I969" s="10">
        <f>RITable[[#This Row],[Price (3y)]]/RITable[[#This Row],[Ratio]] / 3</f>
        <v>0</v>
      </c>
    </row>
    <row r="970" spans="1:9" x14ac:dyDescent="0.3">
      <c r="A970" t="s">
        <v>1197</v>
      </c>
      <c r="B970" t="s">
        <v>1202</v>
      </c>
      <c r="C970">
        <v>8</v>
      </c>
      <c r="E970" s="12"/>
      <c r="F970" s="11">
        <f>RITable[[#This Row],[Price (1y)]]/RITable[[#This Row],[Ratio]]</f>
        <v>0</v>
      </c>
      <c r="H970" s="12"/>
      <c r="I970" s="10">
        <f>RITable[[#This Row],[Price (3y)]]/RITable[[#This Row],[Ratio]] / 3</f>
        <v>0</v>
      </c>
    </row>
    <row r="971" spans="1:9" x14ac:dyDescent="0.3">
      <c r="A971" t="s">
        <v>1197</v>
      </c>
      <c r="B971" t="s">
        <v>1203</v>
      </c>
      <c r="C971">
        <v>14.666666666999999</v>
      </c>
      <c r="E971" s="12"/>
      <c r="F971" s="11">
        <f>RITable[[#This Row],[Price (1y)]]/RITable[[#This Row],[Ratio]]</f>
        <v>0</v>
      </c>
      <c r="H971" s="12"/>
      <c r="I971" s="10">
        <f>RITable[[#This Row],[Price (3y)]]/RITable[[#This Row],[Ratio]] / 3</f>
        <v>0</v>
      </c>
    </row>
    <row r="972" spans="1:9" x14ac:dyDescent="0.3">
      <c r="A972" t="s">
        <v>1197</v>
      </c>
      <c r="B972" t="s">
        <v>1204</v>
      </c>
      <c r="C972">
        <v>14.666666666999999</v>
      </c>
      <c r="E972" s="12"/>
      <c r="F972" s="11">
        <f>RITable[[#This Row],[Price (1y)]]/RITable[[#This Row],[Ratio]]</f>
        <v>0</v>
      </c>
      <c r="H972" s="12"/>
      <c r="I972" s="10">
        <f>RITable[[#This Row],[Price (3y)]]/RITable[[#This Row],[Ratio]] / 3</f>
        <v>0</v>
      </c>
    </row>
    <row r="973" spans="1:9" x14ac:dyDescent="0.3">
      <c r="A973" t="s">
        <v>1197</v>
      </c>
      <c r="B973" t="s">
        <v>1205</v>
      </c>
      <c r="C973">
        <v>14.666666666999999</v>
      </c>
      <c r="E973" s="12"/>
      <c r="F973" s="11">
        <f>RITable[[#This Row],[Price (1y)]]/RITable[[#This Row],[Ratio]]</f>
        <v>0</v>
      </c>
      <c r="H973" s="12"/>
      <c r="I973" s="10">
        <f>RITable[[#This Row],[Price (3y)]]/RITable[[#This Row],[Ratio]] / 3</f>
        <v>0</v>
      </c>
    </row>
    <row r="974" spans="1:9" x14ac:dyDescent="0.3">
      <c r="A974" t="s">
        <v>1206</v>
      </c>
      <c r="B974" t="s">
        <v>1207</v>
      </c>
      <c r="C974">
        <v>1</v>
      </c>
      <c r="E974" s="12"/>
      <c r="F974" s="11">
        <f>RITable[[#This Row],[Price (1y)]]/RITable[[#This Row],[Ratio]]</f>
        <v>0</v>
      </c>
      <c r="H974" s="12"/>
      <c r="I974" s="10">
        <f>RITable[[#This Row],[Price (3y)]]/RITable[[#This Row],[Ratio]] / 3</f>
        <v>0</v>
      </c>
    </row>
    <row r="975" spans="1:9" x14ac:dyDescent="0.3">
      <c r="A975" t="s">
        <v>1206</v>
      </c>
      <c r="B975" t="s">
        <v>1208</v>
      </c>
      <c r="C975">
        <v>2</v>
      </c>
      <c r="E975" s="12"/>
      <c r="F975" s="11">
        <f>RITable[[#This Row],[Price (1y)]]/RITable[[#This Row],[Ratio]]</f>
        <v>0</v>
      </c>
      <c r="H975" s="12"/>
      <c r="I975" s="10">
        <f>RITable[[#This Row],[Price (3y)]]/RITable[[#This Row],[Ratio]] / 3</f>
        <v>0</v>
      </c>
    </row>
    <row r="976" spans="1:9" x14ac:dyDescent="0.3">
      <c r="A976" t="s">
        <v>1206</v>
      </c>
      <c r="B976" t="s">
        <v>1209</v>
      </c>
      <c r="C976">
        <v>4</v>
      </c>
      <c r="E976" s="12"/>
      <c r="F976" s="11">
        <f>RITable[[#This Row],[Price (1y)]]/RITable[[#This Row],[Ratio]]</f>
        <v>0</v>
      </c>
      <c r="H976" s="12"/>
      <c r="I976" s="10">
        <f>RITable[[#This Row],[Price (3y)]]/RITable[[#This Row],[Ratio]] / 3</f>
        <v>0</v>
      </c>
    </row>
    <row r="977" spans="1:9" x14ac:dyDescent="0.3">
      <c r="A977" t="s">
        <v>1206</v>
      </c>
      <c r="B977" t="s">
        <v>1210</v>
      </c>
      <c r="C977">
        <v>8</v>
      </c>
      <c r="E977" s="12"/>
      <c r="F977" s="11">
        <f>RITable[[#This Row],[Price (1y)]]/RITable[[#This Row],[Ratio]]</f>
        <v>0</v>
      </c>
      <c r="H977" s="12"/>
      <c r="I977" s="10">
        <f>RITable[[#This Row],[Price (3y)]]/RITable[[#This Row],[Ratio]] / 3</f>
        <v>0</v>
      </c>
    </row>
    <row r="978" spans="1:9" x14ac:dyDescent="0.3">
      <c r="A978" t="s">
        <v>1206</v>
      </c>
      <c r="B978" t="s">
        <v>1211</v>
      </c>
      <c r="C978">
        <v>8</v>
      </c>
      <c r="E978" s="12"/>
      <c r="F978" s="11">
        <f>RITable[[#This Row],[Price (1y)]]/RITable[[#This Row],[Ratio]]</f>
        <v>0</v>
      </c>
      <c r="H978" s="12"/>
      <c r="I978" s="10">
        <f>RITable[[#This Row],[Price (3y)]]/RITable[[#This Row],[Ratio]] / 3</f>
        <v>0</v>
      </c>
    </row>
    <row r="979" spans="1:9" x14ac:dyDescent="0.3">
      <c r="A979" t="s">
        <v>1206</v>
      </c>
      <c r="B979" t="s">
        <v>1212</v>
      </c>
      <c r="C979">
        <v>14.666666666999999</v>
      </c>
      <c r="E979" s="12"/>
      <c r="F979" s="11">
        <f>RITable[[#This Row],[Price (1y)]]/RITable[[#This Row],[Ratio]]</f>
        <v>0</v>
      </c>
      <c r="H979" s="12"/>
      <c r="I979" s="10">
        <f>RITable[[#This Row],[Price (3y)]]/RITable[[#This Row],[Ratio]] / 3</f>
        <v>0</v>
      </c>
    </row>
    <row r="980" spans="1:9" x14ac:dyDescent="0.3">
      <c r="A980" t="s">
        <v>1206</v>
      </c>
      <c r="B980" t="s">
        <v>1213</v>
      </c>
      <c r="C980">
        <v>14.666666666999999</v>
      </c>
      <c r="E980" s="12"/>
      <c r="F980" s="11">
        <f>RITable[[#This Row],[Price (1y)]]/RITable[[#This Row],[Ratio]]</f>
        <v>0</v>
      </c>
      <c r="H980" s="12"/>
      <c r="I980" s="10">
        <f>RITable[[#This Row],[Price (3y)]]/RITable[[#This Row],[Ratio]] / 3</f>
        <v>0</v>
      </c>
    </row>
    <row r="981" spans="1:9" x14ac:dyDescent="0.3">
      <c r="A981" t="s">
        <v>1206</v>
      </c>
      <c r="B981" t="s">
        <v>1214</v>
      </c>
      <c r="C981">
        <v>14.666666666999999</v>
      </c>
      <c r="E981" s="12"/>
      <c r="F981" s="11">
        <f>RITable[[#This Row],[Price (1y)]]/RITable[[#This Row],[Ratio]]</f>
        <v>0</v>
      </c>
      <c r="H981" s="12"/>
      <c r="I981" s="10">
        <f>RITable[[#This Row],[Price (3y)]]/RITable[[#This Row],[Ratio]] / 3</f>
        <v>0</v>
      </c>
    </row>
    <row r="982" spans="1:9" x14ac:dyDescent="0.3">
      <c r="A982" t="s">
        <v>1215</v>
      </c>
      <c r="B982" t="s">
        <v>1216</v>
      </c>
      <c r="C982">
        <v>1</v>
      </c>
      <c r="E982" s="12"/>
      <c r="F982" s="11">
        <f>RITable[[#This Row],[Price (1y)]]/RITable[[#This Row],[Ratio]]</f>
        <v>0</v>
      </c>
      <c r="H982" s="12"/>
      <c r="I982" s="10">
        <f>RITable[[#This Row],[Price (3y)]]/RITable[[#This Row],[Ratio]] / 3</f>
        <v>0</v>
      </c>
    </row>
    <row r="983" spans="1:9" x14ac:dyDescent="0.3">
      <c r="A983" t="s">
        <v>1215</v>
      </c>
      <c r="B983" t="s">
        <v>1217</v>
      </c>
      <c r="C983">
        <v>2</v>
      </c>
      <c r="E983" s="12"/>
      <c r="F983" s="11">
        <f>RITable[[#This Row],[Price (1y)]]/RITable[[#This Row],[Ratio]]</f>
        <v>0</v>
      </c>
      <c r="H983" s="12"/>
      <c r="I983" s="10">
        <f>RITable[[#This Row],[Price (3y)]]/RITable[[#This Row],[Ratio]] / 3</f>
        <v>0</v>
      </c>
    </row>
    <row r="984" spans="1:9" x14ac:dyDescent="0.3">
      <c r="A984" t="s">
        <v>1218</v>
      </c>
      <c r="B984" t="s">
        <v>1219</v>
      </c>
      <c r="C984">
        <v>1</v>
      </c>
      <c r="E984" s="12"/>
      <c r="F984" s="11">
        <f>RITable[[#This Row],[Price (1y)]]/RITable[[#This Row],[Ratio]]</f>
        <v>0</v>
      </c>
      <c r="H984" s="12"/>
      <c r="I984" s="10">
        <f>RITable[[#This Row],[Price (3y)]]/RITable[[#This Row],[Ratio]] / 3</f>
        <v>0</v>
      </c>
    </row>
    <row r="985" spans="1:9" x14ac:dyDescent="0.3">
      <c r="A985" t="s">
        <v>1220</v>
      </c>
      <c r="B985" t="s">
        <v>1221</v>
      </c>
      <c r="C985">
        <v>1</v>
      </c>
      <c r="E985" s="12"/>
      <c r="F985" s="11">
        <f>RITable[[#This Row],[Price (1y)]]/RITable[[#This Row],[Ratio]]</f>
        <v>0</v>
      </c>
      <c r="H985" s="12"/>
      <c r="I985" s="10">
        <f>RITable[[#This Row],[Price (3y)]]/RITable[[#This Row],[Ratio]] / 3</f>
        <v>0</v>
      </c>
    </row>
    <row r="986" spans="1:9" x14ac:dyDescent="0.3">
      <c r="A986" t="s">
        <v>1220</v>
      </c>
      <c r="B986" t="s">
        <v>1222</v>
      </c>
      <c r="C986">
        <v>1</v>
      </c>
      <c r="E986" s="12"/>
      <c r="F986" s="11">
        <f>RITable[[#This Row],[Price (1y)]]/RITable[[#This Row],[Ratio]]</f>
        <v>0</v>
      </c>
      <c r="H986" s="12"/>
      <c r="I986" s="10">
        <f>RITable[[#This Row],[Price (3y)]]/RITable[[#This Row],[Ratio]] / 3</f>
        <v>0</v>
      </c>
    </row>
    <row r="987" spans="1:9" x14ac:dyDescent="0.3">
      <c r="A987" t="s">
        <v>1223</v>
      </c>
      <c r="B987" t="s">
        <v>1224</v>
      </c>
      <c r="C987">
        <v>1</v>
      </c>
      <c r="E987" s="12"/>
      <c r="F987" s="11">
        <f>RITable[[#This Row],[Price (1y)]]/RITable[[#This Row],[Ratio]]</f>
        <v>0</v>
      </c>
      <c r="H987" s="12"/>
      <c r="I987" s="10">
        <f>RITable[[#This Row],[Price (3y)]]/RITable[[#This Row],[Ratio]] / 3</f>
        <v>0</v>
      </c>
    </row>
    <row r="988" spans="1:9" x14ac:dyDescent="0.3">
      <c r="A988" t="s">
        <v>1225</v>
      </c>
      <c r="B988" t="s">
        <v>1226</v>
      </c>
      <c r="C988">
        <v>1</v>
      </c>
      <c r="E988" s="12"/>
      <c r="F988" s="11">
        <f>RITable[[#This Row],[Price (1y)]]/RITable[[#This Row],[Ratio]]</f>
        <v>0</v>
      </c>
      <c r="H988" s="12"/>
      <c r="I988" s="10">
        <f>RITable[[#This Row],[Price (3y)]]/RITable[[#This Row],[Ratio]] / 3</f>
        <v>0</v>
      </c>
    </row>
    <row r="989" spans="1:9" x14ac:dyDescent="0.3">
      <c r="A989" t="s">
        <v>1227</v>
      </c>
      <c r="B989" t="s">
        <v>1228</v>
      </c>
      <c r="C989">
        <v>1</v>
      </c>
      <c r="E989" s="12"/>
      <c r="F989" s="11">
        <f>RITable[[#This Row],[Price (1y)]]/RITable[[#This Row],[Ratio]]</f>
        <v>0</v>
      </c>
      <c r="H989" s="12"/>
      <c r="I989" s="10">
        <f>RITable[[#This Row],[Price (3y)]]/RITable[[#This Row],[Ratio]] / 3</f>
        <v>0</v>
      </c>
    </row>
    <row r="990" spans="1:9" x14ac:dyDescent="0.3">
      <c r="A990" t="s">
        <v>1227</v>
      </c>
      <c r="B990" t="s">
        <v>1229</v>
      </c>
      <c r="C990">
        <v>1</v>
      </c>
      <c r="E990" s="12"/>
      <c r="F990" s="11">
        <f>RITable[[#This Row],[Price (1y)]]/RITable[[#This Row],[Ratio]]</f>
        <v>0</v>
      </c>
      <c r="H990" s="12"/>
      <c r="I990" s="10">
        <f>RITable[[#This Row],[Price (3y)]]/RITable[[#This Row],[Ratio]] / 3</f>
        <v>0</v>
      </c>
    </row>
    <row r="991" spans="1:9" x14ac:dyDescent="0.3">
      <c r="A991" t="s">
        <v>1230</v>
      </c>
      <c r="B991" t="s">
        <v>1231</v>
      </c>
      <c r="C991">
        <v>1</v>
      </c>
      <c r="E991" s="12"/>
      <c r="F991" s="11">
        <f>RITable[[#This Row],[Price (1y)]]/RITable[[#This Row],[Ratio]]</f>
        <v>0</v>
      </c>
      <c r="H991" s="12"/>
      <c r="I991" s="10">
        <f>RITable[[#This Row],[Price (3y)]]/RITable[[#This Row],[Ratio]] / 3</f>
        <v>0</v>
      </c>
    </row>
    <row r="992" spans="1:9" x14ac:dyDescent="0.3">
      <c r="A992" t="s">
        <v>1230</v>
      </c>
      <c r="B992" t="s">
        <v>1232</v>
      </c>
      <c r="C992">
        <v>2</v>
      </c>
      <c r="E992" s="12"/>
      <c r="F992" s="11">
        <f>RITable[[#This Row],[Price (1y)]]/RITable[[#This Row],[Ratio]]</f>
        <v>0</v>
      </c>
      <c r="H992" s="12"/>
      <c r="I992" s="10">
        <f>RITable[[#This Row],[Price (3y)]]/RITable[[#This Row],[Ratio]] / 3</f>
        <v>0</v>
      </c>
    </row>
    <row r="993" spans="1:9" x14ac:dyDescent="0.3">
      <c r="A993" t="s">
        <v>1230</v>
      </c>
      <c r="B993" t="s">
        <v>1233</v>
      </c>
      <c r="C993">
        <v>4</v>
      </c>
      <c r="E993" s="12"/>
      <c r="F993" s="11">
        <f>RITable[[#This Row],[Price (1y)]]/RITable[[#This Row],[Ratio]]</f>
        <v>0</v>
      </c>
      <c r="H993" s="12"/>
      <c r="I993" s="10">
        <f>RITable[[#This Row],[Price (3y)]]/RITable[[#This Row],[Ratio]] / 3</f>
        <v>0</v>
      </c>
    </row>
    <row r="994" spans="1:9" x14ac:dyDescent="0.3">
      <c r="A994" t="s">
        <v>1230</v>
      </c>
      <c r="B994" t="s">
        <v>1234</v>
      </c>
      <c r="C994">
        <v>4</v>
      </c>
      <c r="E994" s="12"/>
      <c r="F994" s="11">
        <f>RITable[[#This Row],[Price (1y)]]/RITable[[#This Row],[Ratio]]</f>
        <v>0</v>
      </c>
      <c r="H994" s="12"/>
      <c r="I994" s="10">
        <f>RITable[[#This Row],[Price (3y)]]/RITable[[#This Row],[Ratio]] / 3</f>
        <v>0</v>
      </c>
    </row>
    <row r="995" spans="1:9" x14ac:dyDescent="0.3">
      <c r="A995" t="s">
        <v>1235</v>
      </c>
      <c r="B995" t="s">
        <v>1236</v>
      </c>
      <c r="C995">
        <v>1</v>
      </c>
      <c r="E995" s="12"/>
      <c r="F995" s="11">
        <f>RITable[[#This Row],[Price (1y)]]/RITable[[#This Row],[Ratio]]</f>
        <v>0</v>
      </c>
      <c r="H995" s="12"/>
      <c r="I995" s="10">
        <f>RITable[[#This Row],[Price (3y)]]/RITable[[#This Row],[Ratio]] / 3</f>
        <v>0</v>
      </c>
    </row>
    <row r="996" spans="1:9" x14ac:dyDescent="0.3">
      <c r="A996" t="s">
        <v>1235</v>
      </c>
      <c r="B996" t="s">
        <v>1237</v>
      </c>
      <c r="C996">
        <v>1</v>
      </c>
      <c r="E996" s="12"/>
      <c r="F996" s="11">
        <f>RITable[[#This Row],[Price (1y)]]/RITable[[#This Row],[Ratio]]</f>
        <v>0</v>
      </c>
      <c r="H996" s="12"/>
      <c r="I996" s="10">
        <f>RITable[[#This Row],[Price (3y)]]/RITable[[#This Row],[Ratio]] / 3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 Assessment</vt:lpstr>
      <vt:lpstr>Price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Sundling</dc:creator>
  <cp:lastModifiedBy>Tommy Sundling</cp:lastModifiedBy>
  <dcterms:created xsi:type="dcterms:W3CDTF">2019-11-21T08:08:02Z</dcterms:created>
  <dcterms:modified xsi:type="dcterms:W3CDTF">2025-11-18T10:14:14Z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etDate">
    <vt:lpwstr>2019-11-21T08:08:03Z</vt:lpwstr>
  </property>
  <property fmtid="{D5CDD505-2E9C-101B-9397-08002B2CF9AE}" pid="4" name="MSIP_Label_f42aa342-8706-4288-bd11-ebb85995028c_Method">
    <vt:lpwstr>Standard</vt:lpwstr>
  </property>
  <property fmtid="{D5CDD505-2E9C-101B-9397-08002B2CF9AE}" pid="5" name="MSIP_Label_f42aa342-8706-4288-bd11-ebb85995028c_Name">
    <vt:lpwstr>Internal</vt:lpwstr>
  </property>
  <property fmtid="{D5CDD505-2E9C-101B-9397-08002B2CF9AE}" pid="6" name="MSIP_Label_f42aa342-8706-4288-bd11-ebb85995028c_SiteId">
    <vt:lpwstr>72f988bf-86f1-41af-91ab-2d7cd011db47</vt:lpwstr>
  </property>
  <property fmtid="{D5CDD505-2E9C-101B-9397-08002B2CF9AE}" pid="7" name="MSIP_Label_f42aa342-8706-4288-bd11-ebb85995028c_ActionId">
    <vt:lpwstr>063338f2-8c91-46a8-a7c4-000069316e85</vt:lpwstr>
  </property>
  <property fmtid="{D5CDD505-2E9C-101B-9397-08002B2CF9AE}" pid="8" name="MSIP_Label_f42aa342-8706-4288-bd11-ebb85995028c_ContentBits">
    <vt:lpwstr>0</vt:lpwstr>
  </property>
</Properties>
</file>